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PYTHON/islets/"/>
    </mc:Choice>
  </mc:AlternateContent>
  <xr:revisionPtr revIDLastSave="0" documentId="13_ncr:1_{C249F553-B5B8-DD47-A0BF-F3D0CB522F6D}" xr6:coauthVersionLast="47" xr6:coauthVersionMax="47" xr10:uidLastSave="{00000000-0000-0000-0000-000000000000}"/>
  <bookViews>
    <workbookView xWindow="-21600" yWindow="500" windowWidth="10000" windowHeight="37880" activeTab="12" xr2:uid="{2B8B7D4C-A99B-E74C-BA39-293088AFE650}"/>
  </bookViews>
  <sheets>
    <sheet name="Stats" sheetId="4" r:id="rId1"/>
    <sheet name="50000" sheetId="5" r:id="rId2"/>
    <sheet name="Retention" sheetId="8" r:id="rId3"/>
    <sheet name="Viabiltiy" sheetId="7" r:id="rId4"/>
    <sheet name="20000" sheetId="6" r:id="rId5"/>
    <sheet name="50 000 cells ul" sheetId="1" r:id="rId6"/>
    <sheet name="30000 cellsml" sheetId="3" r:id="rId7"/>
    <sheet name="30000 cells ul small" sheetId="9" r:id="rId8"/>
    <sheet name="30000 cells ul Large" sheetId="10" r:id="rId9"/>
    <sheet name="small_30000" sheetId="11" r:id="rId10"/>
    <sheet name="Large_30000" sheetId="12" r:id="rId11"/>
    <sheet name="Pancreatic islets" sheetId="13" r:id="rId12"/>
    <sheet name="Islets summery" sheetId="16" r:id="rId13"/>
    <sheet name="Plan" sheetId="14" r:id="rId14"/>
    <sheet name="Sheet3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6" l="1"/>
  <c r="C14" i="16"/>
  <c r="B14" i="16"/>
  <c r="D5" i="16"/>
  <c r="D64" i="13"/>
  <c r="D53" i="13"/>
  <c r="B46" i="13"/>
  <c r="G64" i="13"/>
  <c r="F64" i="13"/>
  <c r="E64" i="13"/>
  <c r="C64" i="13"/>
  <c r="B64" i="13"/>
  <c r="G63" i="13"/>
  <c r="F63" i="13"/>
  <c r="E63" i="13"/>
  <c r="D63" i="13"/>
  <c r="C63" i="13"/>
  <c r="C65" i="13" s="1"/>
  <c r="B63" i="13"/>
  <c r="B65" i="13" s="1"/>
  <c r="G50" i="13"/>
  <c r="G65" i="13" s="1"/>
  <c r="G66" i="13" s="1"/>
  <c r="F50" i="13"/>
  <c r="E50" i="13"/>
  <c r="D50" i="13"/>
  <c r="C50" i="13"/>
  <c r="B50" i="13"/>
  <c r="G46" i="13"/>
  <c r="F46" i="13"/>
  <c r="E46" i="13"/>
  <c r="D46" i="13"/>
  <c r="C46" i="13"/>
  <c r="C69" i="13" s="1"/>
  <c r="C74" i="13" s="1"/>
  <c r="C19" i="13"/>
  <c r="B19" i="13"/>
  <c r="C18" i="13"/>
  <c r="B18" i="13"/>
  <c r="C17" i="13"/>
  <c r="B17" i="13"/>
  <c r="C16" i="13"/>
  <c r="C20" i="13" s="1"/>
  <c r="D12" i="13" s="1"/>
  <c r="B16" i="13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B57" i="9"/>
  <c r="C57" i="9"/>
  <c r="D57" i="9"/>
  <c r="E57" i="9"/>
  <c r="F57" i="9"/>
  <c r="G57" i="9"/>
  <c r="B58" i="9"/>
  <c r="C58" i="9"/>
  <c r="D58" i="9"/>
  <c r="E58" i="9"/>
  <c r="F58" i="9"/>
  <c r="G58" i="9"/>
  <c r="C56" i="9"/>
  <c r="D56" i="9"/>
  <c r="E56" i="9"/>
  <c r="F56" i="9"/>
  <c r="G56" i="9"/>
  <c r="B56" i="9"/>
  <c r="B51" i="9"/>
  <c r="B52" i="9"/>
  <c r="B53" i="9"/>
  <c r="B47" i="9"/>
  <c r="G48" i="10"/>
  <c r="F48" i="10"/>
  <c r="E48" i="10"/>
  <c r="D48" i="10"/>
  <c r="C48" i="10"/>
  <c r="B48" i="10"/>
  <c r="G47" i="10"/>
  <c r="G49" i="10" s="1"/>
  <c r="G50" i="10" s="1"/>
  <c r="F47" i="10"/>
  <c r="F49" i="10" s="1"/>
  <c r="F50" i="10" s="1"/>
  <c r="E47" i="10"/>
  <c r="E49" i="10" s="1"/>
  <c r="E50" i="10" s="1"/>
  <c r="D47" i="10"/>
  <c r="C47" i="10"/>
  <c r="B47" i="10"/>
  <c r="G38" i="10"/>
  <c r="G53" i="10" s="1"/>
  <c r="F38" i="10"/>
  <c r="F53" i="10" s="1"/>
  <c r="E38" i="10"/>
  <c r="E51" i="10" s="1"/>
  <c r="D38" i="10"/>
  <c r="D52" i="10" s="1"/>
  <c r="C38" i="10"/>
  <c r="C53" i="10" s="1"/>
  <c r="B38" i="10"/>
  <c r="B51" i="10" s="1"/>
  <c r="G34" i="10"/>
  <c r="F34" i="10"/>
  <c r="E34" i="10"/>
  <c r="D34" i="10"/>
  <c r="C34" i="10"/>
  <c r="B34" i="10"/>
  <c r="C18" i="10"/>
  <c r="B18" i="10"/>
  <c r="C17" i="10"/>
  <c r="B17" i="10"/>
  <c r="C16" i="10"/>
  <c r="B16" i="10"/>
  <c r="C15" i="10"/>
  <c r="B15" i="10"/>
  <c r="C48" i="9"/>
  <c r="D48" i="9"/>
  <c r="E48" i="9"/>
  <c r="F48" i="9"/>
  <c r="G48" i="9"/>
  <c r="B48" i="9"/>
  <c r="C47" i="9"/>
  <c r="D47" i="9"/>
  <c r="E47" i="9"/>
  <c r="F47" i="9"/>
  <c r="G47" i="9"/>
  <c r="C16" i="9"/>
  <c r="C17" i="9"/>
  <c r="C18" i="9"/>
  <c r="C15" i="9"/>
  <c r="B16" i="9"/>
  <c r="B17" i="9"/>
  <c r="B18" i="9"/>
  <c r="B15" i="9"/>
  <c r="D11" i="1"/>
  <c r="G38" i="9"/>
  <c r="F38" i="9"/>
  <c r="E38" i="9"/>
  <c r="D38" i="9"/>
  <c r="C38" i="9"/>
  <c r="B38" i="9"/>
  <c r="G34" i="9"/>
  <c r="F34" i="9"/>
  <c r="E34" i="9"/>
  <c r="D34" i="9"/>
  <c r="C34" i="9"/>
  <c r="B34" i="9"/>
  <c r="C19" i="9"/>
  <c r="D11" i="9" s="1"/>
  <c r="N5" i="4"/>
  <c r="N4" i="4"/>
  <c r="J5" i="4"/>
  <c r="J4" i="4"/>
  <c r="F5" i="4"/>
  <c r="F4" i="4"/>
  <c r="F50" i="3"/>
  <c r="F50" i="1"/>
  <c r="C51" i="1"/>
  <c r="D51" i="1"/>
  <c r="E51" i="1"/>
  <c r="G33" i="3"/>
  <c r="G50" i="3" s="1"/>
  <c r="F33" i="3"/>
  <c r="F52" i="3" s="1"/>
  <c r="E33" i="3"/>
  <c r="D33" i="3"/>
  <c r="C33" i="3"/>
  <c r="B33" i="3"/>
  <c r="B51" i="3" s="1"/>
  <c r="C17" i="3"/>
  <c r="C18" i="3"/>
  <c r="D11" i="3" s="1"/>
  <c r="B37" i="3"/>
  <c r="C37" i="3"/>
  <c r="C52" i="3" s="1"/>
  <c r="D37" i="3"/>
  <c r="D48" i="3" s="1"/>
  <c r="E37" i="3"/>
  <c r="E48" i="3" s="1"/>
  <c r="E49" i="3" s="1"/>
  <c r="F37" i="3"/>
  <c r="G37" i="3"/>
  <c r="B46" i="3"/>
  <c r="C46" i="3"/>
  <c r="D46" i="3"/>
  <c r="E46" i="3"/>
  <c r="F46" i="3"/>
  <c r="G46" i="3"/>
  <c r="B47" i="3"/>
  <c r="E5" i="4" s="1"/>
  <c r="C47" i="3"/>
  <c r="D47" i="3"/>
  <c r="I5" i="4" s="1"/>
  <c r="E47" i="3"/>
  <c r="F47" i="3"/>
  <c r="M5" i="4" s="1"/>
  <c r="G47" i="3"/>
  <c r="C33" i="1"/>
  <c r="D33" i="1"/>
  <c r="E33" i="1"/>
  <c r="F33" i="1"/>
  <c r="D48" i="1"/>
  <c r="E48" i="1"/>
  <c r="E49" i="1" s="1"/>
  <c r="B48" i="1"/>
  <c r="B47" i="1"/>
  <c r="E4" i="4" s="1"/>
  <c r="B46" i="1"/>
  <c r="C17" i="1"/>
  <c r="C16" i="1"/>
  <c r="C18" i="1" s="1"/>
  <c r="C15" i="1"/>
  <c r="C46" i="1"/>
  <c r="D46" i="1"/>
  <c r="E46" i="1"/>
  <c r="F46" i="1"/>
  <c r="F48" i="1" s="1"/>
  <c r="G46" i="1"/>
  <c r="G48" i="1" s="1"/>
  <c r="C47" i="1"/>
  <c r="D47" i="1"/>
  <c r="E47" i="1"/>
  <c r="I4" i="4" s="1"/>
  <c r="F47" i="1"/>
  <c r="M4" i="4" s="1"/>
  <c r="G47" i="1"/>
  <c r="D37" i="1"/>
  <c r="D52" i="1" s="1"/>
  <c r="G37" i="1"/>
  <c r="G51" i="1" s="1"/>
  <c r="F37" i="1"/>
  <c r="F51" i="1" s="1"/>
  <c r="E37" i="1"/>
  <c r="E52" i="1" s="1"/>
  <c r="C37" i="1"/>
  <c r="C52" i="1" s="1"/>
  <c r="B37" i="1"/>
  <c r="B52" i="1" s="1"/>
  <c r="G33" i="1"/>
  <c r="G50" i="1" s="1"/>
  <c r="B33" i="1"/>
  <c r="B50" i="1" s="1"/>
  <c r="B69" i="13" l="1"/>
  <c r="B74" i="13" s="1"/>
  <c r="F67" i="13"/>
  <c r="F72" i="13" s="1"/>
  <c r="G67" i="13"/>
  <c r="G72" i="13" s="1"/>
  <c r="D65" i="13"/>
  <c r="D66" i="13" s="1"/>
  <c r="F68" i="13"/>
  <c r="F73" i="13" s="1"/>
  <c r="E67" i="13"/>
  <c r="E72" i="13" s="1"/>
  <c r="C66" i="13"/>
  <c r="C67" i="13"/>
  <c r="C72" i="13" s="1"/>
  <c r="C68" i="13"/>
  <c r="C73" i="13" s="1"/>
  <c r="B66" i="13"/>
  <c r="B68" i="13"/>
  <c r="B73" i="13" s="1"/>
  <c r="B67" i="13"/>
  <c r="B72" i="13" s="1"/>
  <c r="D68" i="13"/>
  <c r="D73" i="13" s="1"/>
  <c r="F69" i="13"/>
  <c r="F74" i="13" s="1"/>
  <c r="E65" i="13"/>
  <c r="E66" i="13" s="1"/>
  <c r="F65" i="13"/>
  <c r="F66" i="13" s="1"/>
  <c r="E68" i="13"/>
  <c r="E73" i="13" s="1"/>
  <c r="G68" i="13"/>
  <c r="G73" i="13" s="1"/>
  <c r="E69" i="13"/>
  <c r="E74" i="13" s="1"/>
  <c r="G69" i="13"/>
  <c r="G74" i="13" s="1"/>
  <c r="D69" i="13"/>
  <c r="D74" i="13" s="1"/>
  <c r="D67" i="13"/>
  <c r="D72" i="13" s="1"/>
  <c r="D49" i="10"/>
  <c r="D50" i="10" s="1"/>
  <c r="B49" i="10"/>
  <c r="B50" i="10" s="1"/>
  <c r="B52" i="10"/>
  <c r="C19" i="10"/>
  <c r="D11" i="10" s="1"/>
  <c r="D53" i="10"/>
  <c r="C49" i="10"/>
  <c r="C50" i="10" s="1"/>
  <c r="C52" i="10"/>
  <c r="E52" i="10"/>
  <c r="F52" i="10"/>
  <c r="G52" i="10"/>
  <c r="B53" i="10"/>
  <c r="C51" i="10"/>
  <c r="D51" i="10"/>
  <c r="E53" i="10"/>
  <c r="F51" i="10"/>
  <c r="G51" i="10"/>
  <c r="F49" i="9"/>
  <c r="F50" i="9" s="1"/>
  <c r="E49" i="9"/>
  <c r="E50" i="9" s="1"/>
  <c r="C53" i="9"/>
  <c r="G52" i="3"/>
  <c r="G51" i="3"/>
  <c r="F51" i="3"/>
  <c r="L5" i="4" s="1"/>
  <c r="B52" i="3"/>
  <c r="D53" i="9"/>
  <c r="G49" i="9"/>
  <c r="G50" i="9" s="1"/>
  <c r="G53" i="9"/>
  <c r="F53" i="9"/>
  <c r="E53" i="9"/>
  <c r="D49" i="9"/>
  <c r="D50" i="9" s="1"/>
  <c r="C49" i="9"/>
  <c r="C50" i="9" s="1"/>
  <c r="B49" i="9"/>
  <c r="B50" i="9" s="1"/>
  <c r="C52" i="9"/>
  <c r="D52" i="9"/>
  <c r="E52" i="9"/>
  <c r="F52" i="9"/>
  <c r="G52" i="9"/>
  <c r="C51" i="9"/>
  <c r="D51" i="9"/>
  <c r="E51" i="9"/>
  <c r="F51" i="9"/>
  <c r="G51" i="9"/>
  <c r="G52" i="1"/>
  <c r="E50" i="1"/>
  <c r="E51" i="3"/>
  <c r="F52" i="1"/>
  <c r="L4" i="4" s="1"/>
  <c r="D50" i="1"/>
  <c r="H4" i="4" s="1"/>
  <c r="C51" i="3"/>
  <c r="C48" i="1"/>
  <c r="C49" i="1" s="1"/>
  <c r="D51" i="3"/>
  <c r="C50" i="1"/>
  <c r="D4" i="4" s="1"/>
  <c r="B49" i="1"/>
  <c r="B51" i="1"/>
  <c r="D49" i="1"/>
  <c r="G4" i="4" s="1"/>
  <c r="B50" i="3"/>
  <c r="C50" i="3"/>
  <c r="G48" i="3"/>
  <c r="D50" i="3"/>
  <c r="D52" i="3"/>
  <c r="F48" i="3"/>
  <c r="E50" i="3"/>
  <c r="E52" i="3"/>
  <c r="F49" i="3"/>
  <c r="K5" i="4" s="1"/>
  <c r="C48" i="3"/>
  <c r="B48" i="3"/>
  <c r="C49" i="3"/>
  <c r="D49" i="3"/>
  <c r="G5" i="4" s="1"/>
  <c r="B49" i="3"/>
  <c r="G49" i="3"/>
  <c r="F49" i="1"/>
  <c r="G49" i="1"/>
  <c r="C5" i="4" l="1"/>
  <c r="D5" i="4"/>
  <c r="C4" i="4"/>
  <c r="K4" i="4"/>
  <c r="H5" i="4"/>
</calcChain>
</file>

<file path=xl/sharedStrings.xml><?xml version="1.0" encoding="utf-8"?>
<sst xmlns="http://schemas.openxmlformats.org/spreadsheetml/2006/main" count="371" uniqueCount="142">
  <si>
    <t>Thawing</t>
  </si>
  <si>
    <t>Media prepared:</t>
  </si>
  <si>
    <t>Tube Nr:</t>
  </si>
  <si>
    <t>Taken from freezer:</t>
  </si>
  <si>
    <t>Arrival at water bath</t>
  </si>
  <si>
    <t>Taken out from the water bath</t>
  </si>
  <si>
    <t>Volume resuspended in (mL):</t>
  </si>
  <si>
    <t>Time at initial count:</t>
  </si>
  <si>
    <t>Volume resuspended in after spin down (mL):</t>
  </si>
  <si>
    <t>Time:</t>
  </si>
  <si>
    <t>Volume each tube:</t>
  </si>
  <si>
    <t>Actual volume:</t>
  </si>
  <si>
    <t>Cell counts after thaw</t>
  </si>
  <si>
    <t>Tot</t>
  </si>
  <si>
    <t>Live</t>
  </si>
  <si>
    <t>Viable</t>
  </si>
  <si>
    <t>Count 1</t>
  </si>
  <si>
    <t>Count 2</t>
  </si>
  <si>
    <t>Count 3</t>
  </si>
  <si>
    <t>Tot viabal:</t>
  </si>
  <si>
    <t>Falcone tube:</t>
  </si>
  <si>
    <t>Start time (Out from centrifuge)</t>
  </si>
  <si>
    <t>Cells given to injector</t>
  </si>
  <si>
    <t>Start Time inject</t>
  </si>
  <si>
    <t>End time injection</t>
  </si>
  <si>
    <t>Start time flush:</t>
  </si>
  <si>
    <t>End time flush</t>
  </si>
  <si>
    <t>Tube handed to Jesper</t>
  </si>
  <si>
    <t>Volume handed (uL)</t>
  </si>
  <si>
    <t>Cells handed to injector</t>
  </si>
  <si>
    <t>After Syringe (uL)</t>
  </si>
  <si>
    <t>Cells injected</t>
  </si>
  <si>
    <t>Cells out:</t>
  </si>
  <si>
    <t>Volume flushed (uL)</t>
  </si>
  <si>
    <t>Volume before (ml)</t>
  </si>
  <si>
    <t>Volume after</t>
  </si>
  <si>
    <t>JESPER COUNTS</t>
  </si>
  <si>
    <t>Comments:</t>
  </si>
  <si>
    <t>White material end of cath</t>
  </si>
  <si>
    <t>Divided to 6 tubes</t>
  </si>
  <si>
    <t>End thaw</t>
  </si>
  <si>
    <t>Count 1 cells/ml</t>
  </si>
  <si>
    <t>Count 1 viability</t>
  </si>
  <si>
    <t>Count 2 cells/ml</t>
  </si>
  <si>
    <t>Count 2 viability</t>
  </si>
  <si>
    <t>Count 3 cells/ml</t>
  </si>
  <si>
    <t>Count 3 viability</t>
  </si>
  <si>
    <t>Average concentration</t>
  </si>
  <si>
    <t>Average viability</t>
  </si>
  <si>
    <t>80s</t>
  </si>
  <si>
    <t>10s</t>
  </si>
  <si>
    <t>140s</t>
  </si>
  <si>
    <t>Average yield</t>
  </si>
  <si>
    <t>SD yield</t>
  </si>
  <si>
    <t>Aveage viability</t>
  </si>
  <si>
    <t>SD viability</t>
  </si>
  <si>
    <t>Averege out</t>
  </si>
  <si>
    <t>Cells/ml</t>
  </si>
  <si>
    <t>Time</t>
  </si>
  <si>
    <t>Viability</t>
  </si>
  <si>
    <t>SD_v</t>
  </si>
  <si>
    <t>Retention</t>
  </si>
  <si>
    <t>SD_r</t>
  </si>
  <si>
    <t>T1</t>
  </si>
  <si>
    <t>T2</t>
  </si>
  <si>
    <t>T3</t>
  </si>
  <si>
    <t>Concentration</t>
  </si>
  <si>
    <t>10M 22</t>
  </si>
  <si>
    <t>Hemo</t>
  </si>
  <si>
    <t>Count 4</t>
  </si>
  <si>
    <t>Dead</t>
  </si>
  <si>
    <t>Count 1 Dead</t>
  </si>
  <si>
    <t>Count 2 Dead</t>
  </si>
  <si>
    <t>Count 3  dead</t>
  </si>
  <si>
    <t>Count 1 alive</t>
  </si>
  <si>
    <t>Count 2 alive</t>
  </si>
  <si>
    <t>Count 3 alive</t>
  </si>
  <si>
    <t>8s</t>
  </si>
  <si>
    <t>5s</t>
  </si>
  <si>
    <t>11.49</t>
  </si>
  <si>
    <t>75 se</t>
  </si>
  <si>
    <t xml:space="preserve">75 s </t>
  </si>
  <si>
    <t>126s</t>
  </si>
  <si>
    <t>110s</t>
  </si>
  <si>
    <t>65s</t>
  </si>
  <si>
    <t>77s</t>
  </si>
  <si>
    <t>143s</t>
  </si>
  <si>
    <t>141s</t>
  </si>
  <si>
    <t>1.67</t>
  </si>
  <si>
    <t>Counts</t>
  </si>
  <si>
    <t>Info</t>
  </si>
  <si>
    <t>Amount in each</t>
  </si>
  <si>
    <t>Cell age</t>
  </si>
  <si>
    <t>Amount at harvest</t>
  </si>
  <si>
    <t>Arrival at cell lab</t>
  </si>
  <si>
    <t>Step</t>
  </si>
  <si>
    <t>Approx time</t>
  </si>
  <si>
    <t>Comment</t>
  </si>
  <si>
    <t>Stem cell aggregates</t>
  </si>
  <si>
    <t>Fused islets</t>
  </si>
  <si>
    <t>500 cell aggregates</t>
  </si>
  <si>
    <t>size um</t>
  </si>
  <si>
    <t>cells per agg</t>
  </si>
  <si>
    <t>islts fuse</t>
  </si>
  <si>
    <t>200 um</t>
  </si>
  <si>
    <t>well 1</t>
  </si>
  <si>
    <t>500 cells</t>
  </si>
  <si>
    <t>Start time pipett</t>
  </si>
  <si>
    <t>End time pipett</t>
  </si>
  <si>
    <t>Move to new plate</t>
  </si>
  <si>
    <t>Start time count</t>
  </si>
  <si>
    <t>End time count</t>
  </si>
  <si>
    <t>Wash start</t>
  </si>
  <si>
    <t>Settle start</t>
  </si>
  <si>
    <t>Count rest</t>
  </si>
  <si>
    <t>Cells at start</t>
  </si>
  <si>
    <t>cells left</t>
  </si>
  <si>
    <t>Aspirate</t>
  </si>
  <si>
    <t>push to well</t>
  </si>
  <si>
    <t>Needle</t>
  </si>
  <si>
    <t>21G (0.8 x 40mm)</t>
  </si>
  <si>
    <t>Count 2 alive flush</t>
  </si>
  <si>
    <t>Count 2 Dead flush</t>
  </si>
  <si>
    <t>Count 3 syringe</t>
  </si>
  <si>
    <t>Count 3  dead syringe</t>
  </si>
  <si>
    <t>Most</t>
  </si>
  <si>
    <t>Count 4 Flush and drop</t>
  </si>
  <si>
    <t>Ulrik.birgersson@smartcella.com</t>
  </si>
  <si>
    <t>Count 5</t>
  </si>
  <si>
    <t>Pyronics 0.1 +BSA 0.1</t>
  </si>
  <si>
    <t>Run</t>
  </si>
  <si>
    <t>Count 1 dead</t>
  </si>
  <si>
    <t>Count 2 dead</t>
  </si>
  <si>
    <t>Count 3 dead</t>
  </si>
  <si>
    <t>Count 4 alive</t>
  </si>
  <si>
    <t>Count 4 dead</t>
  </si>
  <si>
    <t>Injection volume</t>
  </si>
  <si>
    <t>Wash volume</t>
  </si>
  <si>
    <t>Parameters</t>
  </si>
  <si>
    <t>PBS</t>
  </si>
  <si>
    <t>PBS+Pyronics+BSA</t>
  </si>
  <si>
    <t>Time from incubator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</si>
</sst>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1155CC"/>
      <name val="Inconsolata"/>
    </font>
    <font>
      <sz val="12"/>
      <color rgb="FFFF0000"/>
      <name val="Calibri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2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1" fontId="0" fillId="0" borderId="0" xfId="0" applyNumberFormat="1"/>
    <xf numFmtId="11" fontId="0" fillId="0" borderId="0" xfId="0" applyNumberFormat="1"/>
    <xf numFmtId="9" fontId="0" fillId="0" borderId="0" xfId="0" applyNumberFormat="1"/>
    <xf numFmtId="0" fontId="2" fillId="0" borderId="0" xfId="0" applyFont="1"/>
    <xf numFmtId="21" fontId="2" fillId="0" borderId="0" xfId="0" applyNumberFormat="1" applyFont="1"/>
    <xf numFmtId="46" fontId="2" fillId="0" borderId="0" xfId="0" applyNumberFormat="1" applyFont="1"/>
    <xf numFmtId="11" fontId="2" fillId="0" borderId="0" xfId="0" applyNumberFormat="1" applyFont="1"/>
    <xf numFmtId="11" fontId="0" fillId="0" borderId="0" xfId="0" applyNumberFormat="1" applyAlignment="1">
      <alignment horizontal="center"/>
    </xf>
    <xf numFmtId="9" fontId="2" fillId="0" borderId="0" xfId="0" applyNumberFormat="1" applyFont="1"/>
    <xf numFmtId="0" fontId="3" fillId="0" borderId="0" xfId="2"/>
    <xf numFmtId="9" fontId="3" fillId="0" borderId="0" xfId="3" applyFont="1"/>
    <xf numFmtId="9" fontId="4" fillId="0" borderId="0" xfId="3" applyFont="1"/>
    <xf numFmtId="0" fontId="5" fillId="0" borderId="0" xfId="2" applyFont="1"/>
    <xf numFmtId="11" fontId="5" fillId="0" borderId="0" xfId="2" applyNumberFormat="1" applyFont="1"/>
    <xf numFmtId="11" fontId="4" fillId="0" borderId="0" xfId="2" applyNumberFormat="1" applyFont="1"/>
    <xf numFmtId="11" fontId="3" fillId="0" borderId="0" xfId="2" applyNumberFormat="1"/>
    <xf numFmtId="9" fontId="4" fillId="0" borderId="0" xfId="2" applyNumberFormat="1" applyFont="1"/>
    <xf numFmtId="9" fontId="5" fillId="0" borderId="0" xfId="2" applyNumberFormat="1" applyFont="1"/>
    <xf numFmtId="21" fontId="5" fillId="0" borderId="0" xfId="2" applyNumberFormat="1" applyFont="1"/>
    <xf numFmtId="11" fontId="6" fillId="2" borderId="0" xfId="2" applyNumberFormat="1" applyFont="1" applyFill="1"/>
    <xf numFmtId="46" fontId="5" fillId="0" borderId="0" xfId="2" applyNumberFormat="1" applyFont="1"/>
    <xf numFmtId="21" fontId="4" fillId="0" borderId="0" xfId="2" applyNumberFormat="1" applyFont="1"/>
    <xf numFmtId="0" fontId="4" fillId="0" borderId="0" xfId="2" applyFont="1" applyAlignment="1">
      <alignment vertical="center"/>
    </xf>
    <xf numFmtId="21" fontId="4" fillId="0" borderId="0" xfId="2" applyNumberFormat="1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/>
    </xf>
    <xf numFmtId="20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left"/>
    </xf>
    <xf numFmtId="11" fontId="5" fillId="0" borderId="0" xfId="0" applyNumberFormat="1" applyFont="1"/>
    <xf numFmtId="9" fontId="0" fillId="0" borderId="0" xfId="1" applyFont="1"/>
    <xf numFmtId="9" fontId="0" fillId="0" borderId="4" xfId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10" xfId="0" applyBorder="1"/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2" fillId="0" borderId="4" xfId="0" applyNumberFormat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2" applyFont="1"/>
    <xf numFmtId="2" fontId="4" fillId="0" borderId="0" xfId="2" applyNumberFormat="1" applyFont="1"/>
    <xf numFmtId="0" fontId="4" fillId="0" borderId="0" xfId="2" applyFont="1"/>
    <xf numFmtId="9" fontId="4" fillId="0" borderId="0" xfId="1" applyFont="1"/>
    <xf numFmtId="9" fontId="3" fillId="0" borderId="0" xfId="1" applyFont="1"/>
    <xf numFmtId="0" fontId="7" fillId="0" borderId="0" xfId="2" applyFont="1"/>
    <xf numFmtId="3" fontId="0" fillId="0" borderId="0" xfId="0" applyNumberFormat="1"/>
    <xf numFmtId="0" fontId="5" fillId="0" borderId="0" xfId="2" quotePrefix="1" applyFont="1"/>
    <xf numFmtId="0" fontId="8" fillId="0" borderId="0" xfId="4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2" applyFont="1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 vertical="center"/>
    </xf>
    <xf numFmtId="0" fontId="4" fillId="0" borderId="0" xfId="2" applyNumberFormat="1" applyFont="1"/>
    <xf numFmtId="0" fontId="5" fillId="0" borderId="0" xfId="2" applyNumberFormat="1" applyFont="1"/>
    <xf numFmtId="0" fontId="0" fillId="0" borderId="0" xfId="0" applyNumberFormat="1"/>
    <xf numFmtId="0" fontId="3" fillId="0" borderId="0" xfId="2" applyNumberFormat="1"/>
  </cellXfs>
  <cellStyles count="5">
    <cellStyle name="Hyperlink" xfId="4" builtinId="8"/>
    <cellStyle name="Normal" xfId="0" builtinId="0"/>
    <cellStyle name="Normal 2" xfId="2" xr:uid="{CAF7E9AC-6CFD-D445-81CB-8C880FB604DD}"/>
    <cellStyle name="Per cent" xfId="1" builtinId="5"/>
    <cellStyle name="Per cent 2" xfId="3" xr:uid="{B23FF6A7-5B8E-964A-AC3B-F0D1246A2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Ulrik.birgersson@smartcel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231C-7596-EB41-A6F7-40821041DD14}">
  <dimension ref="B1:N5"/>
  <sheetViews>
    <sheetView zoomScale="166" workbookViewId="0">
      <selection activeCell="K5" sqref="K5"/>
    </sheetView>
  </sheetViews>
  <sheetFormatPr baseColWidth="10" defaultRowHeight="16" x14ac:dyDescent="0.2"/>
  <cols>
    <col min="2" max="2" width="7.83203125" bestFit="1" customWidth="1"/>
    <col min="3" max="3" width="12.1640625" bestFit="1" customWidth="1"/>
    <col min="4" max="4" width="7.6640625" bestFit="1" customWidth="1"/>
    <col min="5" max="5" width="14.1640625" bestFit="1" customWidth="1"/>
    <col min="6" max="6" width="10.1640625" bestFit="1" customWidth="1"/>
    <col min="7" max="7" width="12.1640625" bestFit="1" customWidth="1"/>
    <col min="8" max="8" width="7.6640625" bestFit="1" customWidth="1"/>
    <col min="9" max="9" width="14.1640625" bestFit="1" customWidth="1"/>
    <col min="10" max="10" width="10.1640625" bestFit="1" customWidth="1"/>
    <col min="11" max="11" width="12.1640625" bestFit="1" customWidth="1"/>
    <col min="12" max="12" width="7.6640625" bestFit="1" customWidth="1"/>
    <col min="13" max="13" width="14.1640625" bestFit="1" customWidth="1"/>
    <col min="14" max="14" width="10.1640625" bestFit="1" customWidth="1"/>
  </cols>
  <sheetData>
    <row r="1" spans="2:14" ht="17" thickBot="1" x14ac:dyDescent="0.25"/>
    <row r="2" spans="2:14" ht="32" customHeight="1" thickBot="1" x14ac:dyDescent="0.25">
      <c r="B2" s="46"/>
      <c r="C2" s="61" t="s">
        <v>50</v>
      </c>
      <c r="D2" s="62"/>
      <c r="E2" s="62"/>
      <c r="F2" s="63"/>
      <c r="G2" s="61" t="s">
        <v>49</v>
      </c>
      <c r="H2" s="62"/>
      <c r="I2" s="62"/>
      <c r="J2" s="63"/>
      <c r="K2" s="61" t="s">
        <v>51</v>
      </c>
      <c r="L2" s="62"/>
      <c r="M2" s="62"/>
      <c r="N2" s="63"/>
    </row>
    <row r="3" spans="2:14" x14ac:dyDescent="0.2">
      <c r="B3" s="43" t="s">
        <v>57</v>
      </c>
      <c r="C3" s="47" t="s">
        <v>52</v>
      </c>
      <c r="D3" s="48" t="s">
        <v>53</v>
      </c>
      <c r="E3" s="48" t="s">
        <v>54</v>
      </c>
      <c r="F3" s="48" t="s">
        <v>55</v>
      </c>
      <c r="G3" s="48" t="s">
        <v>52</v>
      </c>
      <c r="H3" s="48" t="s">
        <v>53</v>
      </c>
      <c r="I3" s="48" t="s">
        <v>54</v>
      </c>
      <c r="J3" s="48" t="s">
        <v>55</v>
      </c>
      <c r="K3" s="48" t="s">
        <v>52</v>
      </c>
      <c r="L3" s="48" t="s">
        <v>53</v>
      </c>
      <c r="M3" s="48" t="s">
        <v>54</v>
      </c>
      <c r="N3" s="49" t="s">
        <v>55</v>
      </c>
    </row>
    <row r="4" spans="2:14" x14ac:dyDescent="0.2">
      <c r="B4" s="44">
        <v>50000</v>
      </c>
      <c r="C4" s="41">
        <f>AVERAGE('50 000 cells ul'!B49:C49)</f>
        <v>0.91358181818181816</v>
      </c>
      <c r="D4" s="37">
        <f>STDEV('50 000 cells ul'!B50:C52)</f>
        <v>7.1449523765249795E-2</v>
      </c>
      <c r="E4" s="37">
        <f>AVERAGE('50 000 cells ul'!B47:C47)</f>
        <v>0.86333333333333329</v>
      </c>
      <c r="F4" s="37">
        <f>STDEV('50 000 cells ul'!B41,'50 000 cells ul'!C41,'50 000 cells ul'!C43,'50 000 cells ul'!B43,'50 000 cells ul'!B45,'50 000 cells ul'!C45)</f>
        <v>6.4935865795927208E-2</v>
      </c>
      <c r="G4" s="37">
        <f>AVERAGE('50 000 cells ul'!D49,'50 000 cells ul'!E49)</f>
        <v>0.80247272727272745</v>
      </c>
      <c r="H4" s="37">
        <f>STDEV('50 000 cells ul'!D50:E52)</f>
        <v>0.18416634090942585</v>
      </c>
      <c r="I4" s="37">
        <f>AVERAGE('50 000 cells ul'!D47:E47)</f>
        <v>0.91666666666666652</v>
      </c>
      <c r="J4" s="37">
        <f>STDEV('50 000 cells ul'!E45,'50 000 cells ul'!F45,'50 000 cells ul'!F43,'50 000 cells ul'!E43,'50 000 cells ul'!E41,'50 000 cells ul'!F41)</f>
        <v>5.7503623074260865E-2</v>
      </c>
      <c r="K4" s="37">
        <f>AVERAGE('50 000 cells ul'!F49:G49)</f>
        <v>0.62490303030303029</v>
      </c>
      <c r="L4" s="37">
        <f>STDEV('50 000 cells ul'!F50:G52)</f>
        <v>0.1527544485201649</v>
      </c>
      <c r="M4" s="37">
        <f>AVERAGE('50 000 cells ul'!F47:G47)</f>
        <v>0.93833333333333324</v>
      </c>
      <c r="N4" s="38">
        <f>STDEV('50 000 cells ul'!F41,'50 000 cells ul'!G41,'50 000 cells ul'!G43,'50 000 cells ul'!F43,'50 000 cells ul'!F45,'50 000 cells ul'!G45)</f>
        <v>4.9966655548141961E-2</v>
      </c>
    </row>
    <row r="5" spans="2:14" ht="17" thickBot="1" x14ac:dyDescent="0.25">
      <c r="B5" s="45">
        <v>20000</v>
      </c>
      <c r="C5" s="42">
        <f>AVERAGE('30000 cellsml'!B49:C49)</f>
        <v>1.2932812500000002</v>
      </c>
      <c r="D5" s="39">
        <f>STDEV('30000 cellsml'!B50:C52)</f>
        <v>0.48004144786327174</v>
      </c>
      <c r="E5" s="39">
        <f>AVERAGE('30000 cellsml'!B47:C47)</f>
        <v>0.89333333333333331</v>
      </c>
      <c r="F5" s="39">
        <f>STDEV('30000 cellsml'!B41,'30000 cellsml'!C41,'30000 cellsml'!C43,'30000 cellsml'!B43,'30000 cellsml'!B45,'30000 cellsml'!C45)</f>
        <v>1.7511900715418277E-2</v>
      </c>
      <c r="G5" s="39">
        <f>AVERAGE('30000 cellsml'!D49:E49)</f>
        <v>0.60642992424242426</v>
      </c>
      <c r="H5" s="39">
        <f>STDEV('30000 cellsml'!D50:E52)</f>
        <v>7.8995848180689526E-2</v>
      </c>
      <c r="I5" s="39">
        <f>AVERAGE('30000 cellsml'!D47:E47)</f>
        <v>0.95</v>
      </c>
      <c r="J5" s="39">
        <f>STDEV('30000 cellsml'!D45,'30000 cellsml'!E45,'30000 cellsml'!E43,'30000 cellsml'!D43,'30000 cellsml'!D41,'30000 cellsml'!E41)</f>
        <v>4.8579831205964458E-2</v>
      </c>
      <c r="K5" s="39">
        <f>AVERAGE('30000 cellsml'!F49:G49)</f>
        <v>0.54687500000000011</v>
      </c>
      <c r="L5" s="39">
        <f>STDEV('30000 cellsml'!F50:G52)</f>
        <v>9.3227711813601621E-2</v>
      </c>
      <c r="M5" s="39">
        <f>AVERAGE('30000 cellsml'!F47:G47)</f>
        <v>0.95333333333333337</v>
      </c>
      <c r="N5" s="40">
        <f>STDEV('30000 cellsml'!F41,'30000 cellsml'!G41,'30000 cellsml'!G43,'30000 cellsml'!F43,'30000 cellsml'!F45,'30000 cellsml'!G45)</f>
        <v>3.2659863237109024E-2</v>
      </c>
    </row>
  </sheetData>
  <mergeCells count="3"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5027-9EC3-E947-A7A5-FE97217AFD06}">
  <dimension ref="A1:E4"/>
  <sheetViews>
    <sheetView zoomScale="267" workbookViewId="0">
      <selection activeCell="D7" sqref="D7"/>
    </sheetView>
  </sheetViews>
  <sheetFormatPr baseColWidth="10" defaultRowHeight="16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>
        <v>30</v>
      </c>
      <c r="B2" s="50">
        <v>0.86</v>
      </c>
      <c r="C2" s="36">
        <v>6.4935865795927208E-2</v>
      </c>
      <c r="D2" s="41">
        <v>0.91358181818181816</v>
      </c>
      <c r="E2" s="37">
        <v>7.1449523765249795E-2</v>
      </c>
    </row>
    <row r="3" spans="1:5" x14ac:dyDescent="0.2">
      <c r="A3">
        <v>120</v>
      </c>
      <c r="B3" s="36">
        <v>0.91666666666666652</v>
      </c>
      <c r="C3" s="36">
        <v>5.7503623074260865E-2</v>
      </c>
      <c r="D3" s="37">
        <v>0.80247272727272745</v>
      </c>
      <c r="E3" s="37">
        <v>0.18416634090942585</v>
      </c>
    </row>
    <row r="4" spans="1:5" x14ac:dyDescent="0.2">
      <c r="A4">
        <v>240</v>
      </c>
      <c r="B4" s="36">
        <v>0.93833333333333324</v>
      </c>
      <c r="C4" s="36">
        <v>4.9966655548141961E-2</v>
      </c>
      <c r="D4" s="37">
        <v>0.62490303030303029</v>
      </c>
      <c r="E4" s="37">
        <v>0.1527544485201649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EF79-929D-0741-8FDE-602FCEDCDA15}">
  <dimension ref="A1:D5"/>
  <sheetViews>
    <sheetView zoomScale="223" workbookViewId="0">
      <selection activeCell="G16" sqref="G16"/>
    </sheetView>
  </sheetViews>
  <sheetFormatPr baseColWidth="10" defaultRowHeight="16" x14ac:dyDescent="0.2"/>
  <cols>
    <col min="1" max="1" width="14.83203125" customWidth="1"/>
  </cols>
  <sheetData>
    <row r="1" spans="1:4" x14ac:dyDescent="0.2">
      <c r="A1" t="s">
        <v>66</v>
      </c>
      <c r="B1" t="s">
        <v>63</v>
      </c>
      <c r="C1" t="s">
        <v>64</v>
      </c>
      <c r="D1" t="s">
        <v>65</v>
      </c>
    </row>
    <row r="2" spans="1:4" x14ac:dyDescent="0.2">
      <c r="A2">
        <v>50000</v>
      </c>
      <c r="B2">
        <v>0.93174545454545454</v>
      </c>
      <c r="C2">
        <v>0.93992727272727294</v>
      </c>
      <c r="D2">
        <v>0.64780606060606061</v>
      </c>
    </row>
    <row r="3" spans="1:4" x14ac:dyDescent="0.2">
      <c r="A3">
        <v>50000</v>
      </c>
      <c r="B3">
        <v>0.89541818181818178</v>
      </c>
      <c r="C3">
        <v>0.66501818181818184</v>
      </c>
      <c r="D3">
        <v>0.60199999999999998</v>
      </c>
    </row>
    <row r="4" spans="1:4" x14ac:dyDescent="0.2">
      <c r="A4">
        <v>30000</v>
      </c>
      <c r="B4">
        <v>0.86864583333333334</v>
      </c>
      <c r="C4">
        <v>0.55208333333333348</v>
      </c>
      <c r="D4">
        <v>0.51562500000000011</v>
      </c>
    </row>
    <row r="5" spans="1:4" x14ac:dyDescent="0.2">
      <c r="A5">
        <v>30000</v>
      </c>
      <c r="B5">
        <v>0.84927083333333342</v>
      </c>
      <c r="C5">
        <v>0.66077651515151514</v>
      </c>
      <c r="D5">
        <v>0.57812500000000011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C763-9217-4547-BC0F-ACD4EDDAC961}">
  <dimension ref="A1:D5"/>
  <sheetViews>
    <sheetView zoomScale="223" workbookViewId="0">
      <selection activeCell="D5" sqref="D5"/>
    </sheetView>
  </sheetViews>
  <sheetFormatPr baseColWidth="10" defaultRowHeight="16" x14ac:dyDescent="0.2"/>
  <cols>
    <col min="1" max="1" width="14.83203125" customWidth="1"/>
  </cols>
  <sheetData>
    <row r="1" spans="1:4" x14ac:dyDescent="0.2">
      <c r="A1" t="s">
        <v>66</v>
      </c>
      <c r="B1" t="s">
        <v>63</v>
      </c>
      <c r="C1" t="s">
        <v>64</v>
      </c>
      <c r="D1" t="s">
        <v>65</v>
      </c>
    </row>
    <row r="2" spans="1:4" x14ac:dyDescent="0.2">
      <c r="A2">
        <v>50000</v>
      </c>
      <c r="B2">
        <v>0.88666666666666671</v>
      </c>
      <c r="C2">
        <v>0.94999999999999984</v>
      </c>
      <c r="D2">
        <v>0.92333333333333334</v>
      </c>
    </row>
    <row r="3" spans="1:4" x14ac:dyDescent="0.2">
      <c r="A3">
        <v>50000</v>
      </c>
      <c r="B3">
        <v>0.84</v>
      </c>
      <c r="C3">
        <v>0.8833333333333333</v>
      </c>
      <c r="D3">
        <v>0.95333333333333325</v>
      </c>
    </row>
    <row r="4" spans="1:4" x14ac:dyDescent="0.2">
      <c r="A4">
        <v>30000</v>
      </c>
      <c r="B4">
        <v>0.88</v>
      </c>
      <c r="C4">
        <v>0.93333333333333324</v>
      </c>
      <c r="D4">
        <v>0.94666666666666677</v>
      </c>
    </row>
    <row r="5" spans="1:4" x14ac:dyDescent="0.2">
      <c r="A5">
        <v>30000</v>
      </c>
      <c r="B5">
        <v>0.90666666666666673</v>
      </c>
      <c r="C5">
        <v>0.96666666666666667</v>
      </c>
      <c r="D5">
        <v>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CE12-8821-8D4A-997F-C5C94D4424E5}">
  <dimension ref="A1:E4"/>
  <sheetViews>
    <sheetView zoomScale="270" workbookViewId="0">
      <selection activeCell="E9" sqref="E9"/>
    </sheetView>
  </sheetViews>
  <sheetFormatPr baseColWidth="10" defaultRowHeight="16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>
        <v>30</v>
      </c>
      <c r="B2" s="51">
        <v>0.89333333333333331</v>
      </c>
      <c r="C2" s="51">
        <v>1.7511900715418277E-2</v>
      </c>
      <c r="D2" s="51">
        <v>0.85895833333333338</v>
      </c>
      <c r="E2" s="51">
        <v>6.77894305997747E-2</v>
      </c>
    </row>
    <row r="3" spans="1:5" x14ac:dyDescent="0.2">
      <c r="A3">
        <v>120</v>
      </c>
      <c r="B3" s="51">
        <v>0.95</v>
      </c>
      <c r="C3" s="51">
        <v>4.8579831205964458E-2</v>
      </c>
      <c r="D3" s="51">
        <v>0.60642992424242426</v>
      </c>
      <c r="E3" s="51">
        <v>7.8995848180689526E-2</v>
      </c>
    </row>
    <row r="4" spans="1:5" x14ac:dyDescent="0.2">
      <c r="A4">
        <v>240</v>
      </c>
      <c r="B4" s="51">
        <v>0.95333333333333337</v>
      </c>
      <c r="C4" s="51">
        <v>3.2659863237109024E-2</v>
      </c>
      <c r="D4" s="51">
        <v>0.54687500000000011</v>
      </c>
      <c r="E4" s="51">
        <v>9.3227711813601621E-2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EF42-8E1F-F54A-823F-184B38AF64E6}">
  <dimension ref="A1:I52"/>
  <sheetViews>
    <sheetView topLeftCell="A23" zoomScale="194" workbookViewId="0">
      <selection activeCell="B46" sqref="B46"/>
    </sheetView>
  </sheetViews>
  <sheetFormatPr baseColWidth="10" defaultRowHeight="16" x14ac:dyDescent="0.2"/>
  <cols>
    <col min="1" max="1" width="38" customWidth="1"/>
    <col min="2" max="2" width="15.1640625" customWidth="1"/>
    <col min="3" max="3" width="17.1640625" customWidth="1"/>
    <col min="5" max="5" width="13.5" customWidth="1"/>
    <col min="8" max="8" width="11.5" bestFit="1" customWidth="1"/>
  </cols>
  <sheetData>
    <row r="1" spans="1:6" x14ac:dyDescent="0.2">
      <c r="A1" s="64" t="s">
        <v>0</v>
      </c>
      <c r="B1" s="64"/>
    </row>
    <row r="2" spans="1:6" x14ac:dyDescent="0.2">
      <c r="A2" s="1" t="s">
        <v>1</v>
      </c>
      <c r="B2" s="2"/>
      <c r="C2" s="3"/>
    </row>
    <row r="3" spans="1:6" x14ac:dyDescent="0.2">
      <c r="A3" t="s">
        <v>2</v>
      </c>
      <c r="B3" s="4"/>
    </row>
    <row r="4" spans="1:6" x14ac:dyDescent="0.2">
      <c r="A4" t="s">
        <v>3</v>
      </c>
      <c r="B4" s="5"/>
    </row>
    <row r="5" spans="1:6" x14ac:dyDescent="0.2">
      <c r="A5" t="s">
        <v>4</v>
      </c>
      <c r="B5" s="5"/>
    </row>
    <row r="6" spans="1:6" x14ac:dyDescent="0.2">
      <c r="A6" t="s">
        <v>5</v>
      </c>
      <c r="B6" s="5">
        <v>0.61504629629629626</v>
      </c>
    </row>
    <row r="7" spans="1:6" x14ac:dyDescent="0.2">
      <c r="A7" t="s">
        <v>6</v>
      </c>
      <c r="B7" s="6">
        <v>20</v>
      </c>
    </row>
    <row r="8" spans="1:6" x14ac:dyDescent="0.2">
      <c r="A8" t="s">
        <v>7</v>
      </c>
      <c r="B8" s="5">
        <v>0.62083333333333335</v>
      </c>
    </row>
    <row r="9" spans="1:6" x14ac:dyDescent="0.2">
      <c r="A9" t="s">
        <v>40</v>
      </c>
      <c r="B9" s="5">
        <v>0.62135416666666665</v>
      </c>
    </row>
    <row r="10" spans="1:6" x14ac:dyDescent="0.2">
      <c r="A10" t="s">
        <v>8</v>
      </c>
      <c r="B10" s="6">
        <v>10</v>
      </c>
      <c r="C10" t="s">
        <v>9</v>
      </c>
      <c r="D10" s="7">
        <v>0.6255208333333333</v>
      </c>
    </row>
    <row r="11" spans="1:6" x14ac:dyDescent="0.2">
      <c r="A11" t="s">
        <v>39</v>
      </c>
      <c r="B11" s="7">
        <v>0.62716435185185182</v>
      </c>
      <c r="C11" t="s">
        <v>10</v>
      </c>
      <c r="D11" s="8">
        <f>2750000*B10/C18</f>
        <v>1.6961348684210527</v>
      </c>
      <c r="E11" t="s">
        <v>11</v>
      </c>
      <c r="F11">
        <v>1.7</v>
      </c>
    </row>
    <row r="13" spans="1:6" x14ac:dyDescent="0.2">
      <c r="A13" s="64" t="s">
        <v>12</v>
      </c>
      <c r="B13" s="64"/>
      <c r="C13" s="64"/>
      <c r="D13" s="64"/>
    </row>
    <row r="14" spans="1:6" x14ac:dyDescent="0.2">
      <c r="B14" t="s">
        <v>13</v>
      </c>
      <c r="C14" t="s">
        <v>14</v>
      </c>
      <c r="D14" t="s">
        <v>15</v>
      </c>
    </row>
    <row r="15" spans="1:6" x14ac:dyDescent="0.2">
      <c r="A15" t="s">
        <v>16</v>
      </c>
      <c r="B15" s="8">
        <v>800000</v>
      </c>
      <c r="C15" s="8">
        <f>B15*D15</f>
        <v>760000</v>
      </c>
      <c r="D15" s="9">
        <v>0.95</v>
      </c>
    </row>
    <row r="16" spans="1:6" x14ac:dyDescent="0.2">
      <c r="A16" t="s">
        <v>17</v>
      </c>
      <c r="B16" s="8">
        <v>832000</v>
      </c>
      <c r="C16" s="8">
        <f>B16*D16</f>
        <v>832000</v>
      </c>
      <c r="D16" s="9">
        <v>1</v>
      </c>
    </row>
    <row r="17" spans="1:9" x14ac:dyDescent="0.2">
      <c r="A17" t="s">
        <v>18</v>
      </c>
      <c r="B17" s="8">
        <v>840000</v>
      </c>
      <c r="C17" s="8">
        <f>B17*D17</f>
        <v>840000</v>
      </c>
      <c r="D17" s="9">
        <v>1</v>
      </c>
    </row>
    <row r="18" spans="1:9" x14ac:dyDescent="0.2">
      <c r="B18" t="s">
        <v>19</v>
      </c>
      <c r="C18" s="8">
        <f>AVERAGE(C15:C17)*B7</f>
        <v>16213333.333333332</v>
      </c>
      <c r="D18" s="9"/>
      <c r="F18" s="8"/>
    </row>
    <row r="19" spans="1:9" x14ac:dyDescent="0.2">
      <c r="C19" s="8"/>
      <c r="D19" s="9"/>
    </row>
    <row r="21" spans="1:9" x14ac:dyDescent="0.2">
      <c r="A21" s="66" t="s">
        <v>20</v>
      </c>
      <c r="B21" s="65" t="s">
        <v>50</v>
      </c>
      <c r="C21" s="65"/>
      <c r="D21" s="65" t="s">
        <v>49</v>
      </c>
      <c r="E21" s="65"/>
      <c r="F21" s="65" t="s">
        <v>51</v>
      </c>
      <c r="G21" s="65"/>
      <c r="H21" s="10"/>
      <c r="I21" s="10"/>
    </row>
    <row r="22" spans="1:9" x14ac:dyDescent="0.2">
      <c r="A22" s="66"/>
      <c r="B22" s="10">
        <v>1</v>
      </c>
      <c r="C22" s="10">
        <v>2</v>
      </c>
      <c r="D22" s="10">
        <v>3</v>
      </c>
      <c r="E22" s="10">
        <v>4</v>
      </c>
      <c r="F22" s="10">
        <v>5</v>
      </c>
      <c r="G22" s="10">
        <v>6</v>
      </c>
      <c r="H22" s="10"/>
      <c r="I22" s="10"/>
    </row>
    <row r="23" spans="1:9" x14ac:dyDescent="0.2">
      <c r="A23" s="10" t="s">
        <v>21</v>
      </c>
      <c r="B23" s="11"/>
      <c r="C23" s="11"/>
      <c r="D23" s="11"/>
      <c r="E23" s="11"/>
      <c r="F23" s="11"/>
      <c r="G23" s="11"/>
      <c r="H23" s="10"/>
      <c r="I23" s="10"/>
    </row>
    <row r="24" spans="1:9" x14ac:dyDescent="0.2">
      <c r="A24" s="10" t="s">
        <v>22</v>
      </c>
      <c r="B24" s="11"/>
      <c r="C24" s="11"/>
      <c r="D24" s="11"/>
      <c r="E24" s="11"/>
      <c r="F24" s="11"/>
      <c r="G24" s="11"/>
      <c r="H24" s="10"/>
      <c r="I24" s="10"/>
    </row>
    <row r="25" spans="1:9" x14ac:dyDescent="0.2">
      <c r="A25" s="10" t="s">
        <v>23</v>
      </c>
      <c r="B25" s="11"/>
      <c r="C25" s="11"/>
      <c r="D25" s="11"/>
      <c r="E25" s="11"/>
      <c r="F25" s="11"/>
      <c r="G25" s="11"/>
      <c r="H25" s="10"/>
      <c r="I25" s="10"/>
    </row>
    <row r="26" spans="1:9" x14ac:dyDescent="0.2">
      <c r="A26" s="10" t="s">
        <v>24</v>
      </c>
      <c r="B26" s="11"/>
      <c r="C26" s="11"/>
      <c r="D26" s="11"/>
      <c r="E26" s="11"/>
      <c r="F26" s="12"/>
      <c r="G26" s="11"/>
      <c r="H26" s="10"/>
      <c r="I26" s="10"/>
    </row>
    <row r="27" spans="1:9" x14ac:dyDescent="0.2">
      <c r="A27" s="10" t="s">
        <v>25</v>
      </c>
      <c r="B27" s="11"/>
      <c r="C27" s="11"/>
      <c r="D27" s="11"/>
      <c r="E27" s="11"/>
      <c r="F27" s="12"/>
      <c r="G27" s="11"/>
      <c r="H27" s="10"/>
      <c r="I27" s="10"/>
    </row>
    <row r="28" spans="1:9" x14ac:dyDescent="0.2">
      <c r="A28" s="10" t="s">
        <v>26</v>
      </c>
      <c r="B28" s="11"/>
      <c r="C28" s="11"/>
      <c r="D28" s="11"/>
      <c r="E28" s="11"/>
      <c r="F28" s="11"/>
      <c r="G28" s="11"/>
      <c r="H28" s="10"/>
      <c r="I28" s="10"/>
    </row>
    <row r="29" spans="1:9" x14ac:dyDescent="0.2">
      <c r="A29" s="10" t="s">
        <v>27</v>
      </c>
      <c r="B29" s="11"/>
      <c r="C29" s="11"/>
      <c r="D29" s="11"/>
      <c r="E29" s="11"/>
      <c r="F29" s="11"/>
      <c r="G29" s="11"/>
      <c r="H29" s="10"/>
      <c r="I29" s="10"/>
    </row>
    <row r="30" spans="1:9" x14ac:dyDescent="0.2">
      <c r="A30" s="10" t="s">
        <v>28</v>
      </c>
      <c r="B30" s="10">
        <v>90</v>
      </c>
      <c r="C30" s="10">
        <v>60</v>
      </c>
      <c r="D30" s="10">
        <v>60</v>
      </c>
      <c r="E30" s="10">
        <v>60</v>
      </c>
      <c r="F30" s="10">
        <v>55</v>
      </c>
      <c r="G30" s="10">
        <v>50</v>
      </c>
      <c r="H30" s="10"/>
      <c r="I30" s="10"/>
    </row>
    <row r="31" spans="1:9" x14ac:dyDescent="0.2">
      <c r="A31" s="10" t="s">
        <v>29</v>
      </c>
      <c r="B31" s="13">
        <v>2750000</v>
      </c>
      <c r="C31" s="13">
        <v>2750000</v>
      </c>
      <c r="D31" s="13">
        <v>2750000</v>
      </c>
      <c r="E31" s="13">
        <v>2750000</v>
      </c>
      <c r="F31" s="13">
        <v>2750000</v>
      </c>
      <c r="G31" s="13">
        <v>2750000</v>
      </c>
      <c r="H31" s="10"/>
      <c r="I31" s="10"/>
    </row>
    <row r="32" spans="1:9" x14ac:dyDescent="0.2">
      <c r="A32" s="10" t="s">
        <v>30</v>
      </c>
      <c r="B32" s="10">
        <v>90</v>
      </c>
      <c r="C32" s="10">
        <v>60</v>
      </c>
      <c r="D32" s="10">
        <v>60</v>
      </c>
      <c r="E32" s="10">
        <v>60</v>
      </c>
      <c r="F32" s="10">
        <v>55</v>
      </c>
      <c r="G32" s="10">
        <v>50</v>
      </c>
      <c r="H32" s="10"/>
      <c r="I32" s="10"/>
    </row>
    <row r="33" spans="1:9" x14ac:dyDescent="0.2">
      <c r="A33" s="10" t="s">
        <v>31</v>
      </c>
      <c r="B33" s="13">
        <f>B31*B32/B30</f>
        <v>2750000</v>
      </c>
      <c r="C33" s="13">
        <f>C31*C32/C30</f>
        <v>2750000</v>
      </c>
      <c r="D33" s="13">
        <f t="shared" ref="D33:F33" si="0">D31*D32/D30</f>
        <v>2750000</v>
      </c>
      <c r="E33" s="13">
        <f t="shared" si="0"/>
        <v>2750000</v>
      </c>
      <c r="F33" s="13">
        <f t="shared" si="0"/>
        <v>2750000</v>
      </c>
      <c r="G33" s="13">
        <f t="shared" ref="G33" si="1">G31*G32/G30</f>
        <v>2750000</v>
      </c>
      <c r="H33" s="10"/>
      <c r="I33" s="10"/>
    </row>
    <row r="34" spans="1:9" x14ac:dyDescent="0.2">
      <c r="H34" s="10"/>
      <c r="I34" s="10"/>
    </row>
    <row r="35" spans="1:9" x14ac:dyDescent="0.2">
      <c r="A35" s="10" t="s">
        <v>33</v>
      </c>
      <c r="B35" s="10">
        <v>100</v>
      </c>
      <c r="C35" s="10">
        <v>100</v>
      </c>
      <c r="D35" s="10">
        <v>100</v>
      </c>
      <c r="E35" s="10">
        <v>100</v>
      </c>
      <c r="F35" s="10">
        <v>100</v>
      </c>
      <c r="G35" s="10">
        <v>100</v>
      </c>
      <c r="H35" s="10"/>
      <c r="I35" s="10"/>
    </row>
    <row r="36" spans="1:9" x14ac:dyDescent="0.2">
      <c r="A36" s="10" t="s">
        <v>34</v>
      </c>
      <c r="B36" s="10">
        <v>2</v>
      </c>
      <c r="C36" s="10">
        <v>2</v>
      </c>
      <c r="D36" s="10">
        <v>2</v>
      </c>
      <c r="E36" s="10">
        <v>2</v>
      </c>
      <c r="F36" s="10">
        <v>2</v>
      </c>
      <c r="G36" s="10">
        <v>2</v>
      </c>
      <c r="H36" s="10"/>
      <c r="I36" s="10"/>
    </row>
    <row r="37" spans="1:9" x14ac:dyDescent="0.2">
      <c r="A37" s="10" t="s">
        <v>35</v>
      </c>
      <c r="B37" s="10">
        <f>B36+B32/1000+B35/1000</f>
        <v>2.19</v>
      </c>
      <c r="C37" s="10">
        <f t="shared" ref="C37:G37" si="2">C36+C32/1000+C35/1000</f>
        <v>2.16</v>
      </c>
      <c r="D37" s="10">
        <f>D36+D32/1000+D35/1000</f>
        <v>2.16</v>
      </c>
      <c r="E37" s="10">
        <f t="shared" si="2"/>
        <v>2.16</v>
      </c>
      <c r="F37" s="10">
        <f t="shared" si="2"/>
        <v>2.1550000000000002</v>
      </c>
      <c r="G37" s="10">
        <f t="shared" si="2"/>
        <v>2.15</v>
      </c>
      <c r="H37" s="10"/>
      <c r="I37" s="10"/>
    </row>
    <row r="38" spans="1:9" x14ac:dyDescent="0.2">
      <c r="A38" s="10" t="s">
        <v>36</v>
      </c>
      <c r="B38" s="11">
        <v>0.65190972222222221</v>
      </c>
      <c r="C38" s="11">
        <v>0.65763888888888888</v>
      </c>
      <c r="D38" s="11">
        <v>0.66255787037037039</v>
      </c>
      <c r="E38" s="11">
        <v>0.66969907407407403</v>
      </c>
      <c r="F38" s="11">
        <v>0.67530092592592583</v>
      </c>
      <c r="G38" s="11">
        <v>0.68206018518518519</v>
      </c>
      <c r="H38" s="10"/>
      <c r="I38" s="10"/>
    </row>
    <row r="39" spans="1:9" x14ac:dyDescent="0.2">
      <c r="A39" s="10" t="s">
        <v>37</v>
      </c>
      <c r="B39" s="64" t="s">
        <v>38</v>
      </c>
      <c r="C39" s="64"/>
      <c r="D39" s="64"/>
      <c r="E39" s="64"/>
      <c r="F39" s="64"/>
      <c r="G39" s="64"/>
    </row>
    <row r="40" spans="1:9" x14ac:dyDescent="0.2">
      <c r="A40" s="10" t="s">
        <v>41</v>
      </c>
      <c r="B40" s="8">
        <v>1210000</v>
      </c>
      <c r="C40" s="13">
        <v>1100000</v>
      </c>
      <c r="D40" s="8">
        <v>1400000</v>
      </c>
      <c r="E40" s="8">
        <v>960000</v>
      </c>
      <c r="F40" s="8">
        <v>880000</v>
      </c>
      <c r="G40" s="8">
        <v>760000</v>
      </c>
    </row>
    <row r="41" spans="1:9" x14ac:dyDescent="0.2">
      <c r="A41" s="10" t="s">
        <v>42</v>
      </c>
      <c r="B41" s="15">
        <v>0.82</v>
      </c>
      <c r="C41" s="9">
        <v>0.9</v>
      </c>
      <c r="D41" s="15">
        <v>0.95</v>
      </c>
      <c r="E41" s="15">
        <v>0.85</v>
      </c>
      <c r="F41" s="15">
        <v>0.87</v>
      </c>
      <c r="G41" s="15">
        <v>0.96</v>
      </c>
      <c r="H41" s="10"/>
    </row>
    <row r="42" spans="1:9" x14ac:dyDescent="0.2">
      <c r="A42" s="10" t="s">
        <v>43</v>
      </c>
      <c r="B42" s="8">
        <v>1200000</v>
      </c>
      <c r="C42" s="8">
        <v>1220000</v>
      </c>
      <c r="D42" s="8">
        <v>1090000</v>
      </c>
      <c r="E42" s="8">
        <v>720000</v>
      </c>
      <c r="F42" s="8">
        <v>1100000</v>
      </c>
      <c r="G42" s="8">
        <v>760000</v>
      </c>
    </row>
    <row r="43" spans="1:9" x14ac:dyDescent="0.2">
      <c r="A43" s="10" t="s">
        <v>44</v>
      </c>
      <c r="B43" s="15">
        <v>0.85</v>
      </c>
      <c r="C43" s="9">
        <v>0.85</v>
      </c>
      <c r="D43" s="9">
        <v>0.95</v>
      </c>
      <c r="E43" s="9">
        <v>0.86</v>
      </c>
      <c r="F43" s="9">
        <v>0.9</v>
      </c>
      <c r="G43" s="9">
        <v>0.98</v>
      </c>
      <c r="H43" s="7"/>
    </row>
    <row r="44" spans="1:9" x14ac:dyDescent="0.2">
      <c r="A44" s="10" t="s">
        <v>45</v>
      </c>
      <c r="B44" s="8">
        <v>1100000</v>
      </c>
      <c r="C44" s="8">
        <v>1000000</v>
      </c>
      <c r="D44" s="8">
        <v>1100000</v>
      </c>
      <c r="E44" s="8">
        <v>860000</v>
      </c>
      <c r="F44" s="8">
        <v>500000</v>
      </c>
      <c r="G44" s="8">
        <v>790000</v>
      </c>
    </row>
    <row r="45" spans="1:9" x14ac:dyDescent="0.2">
      <c r="A45" s="10" t="s">
        <v>46</v>
      </c>
      <c r="B45" s="9">
        <v>0.99</v>
      </c>
      <c r="C45" s="9">
        <v>0.82</v>
      </c>
      <c r="D45" s="9">
        <v>0.95</v>
      </c>
      <c r="E45" s="9">
        <v>0.94</v>
      </c>
      <c r="F45" s="9">
        <v>1</v>
      </c>
      <c r="G45" s="9">
        <v>0.92</v>
      </c>
      <c r="H45" s="14"/>
    </row>
    <row r="46" spans="1:9" x14ac:dyDescent="0.2">
      <c r="A46" s="10" t="s">
        <v>47</v>
      </c>
      <c r="B46" s="8">
        <f>AVERAGE(B40,B42,B44)</f>
        <v>1170000</v>
      </c>
      <c r="C46">
        <f>AVERAGE(B42,C42,C44)</f>
        <v>1140000</v>
      </c>
      <c r="D46">
        <f t="shared" ref="D46:G46" si="3">AVERAGE(D40,D42,D44)</f>
        <v>1196666.6666666667</v>
      </c>
      <c r="E46">
        <f t="shared" si="3"/>
        <v>846666.66666666663</v>
      </c>
      <c r="F46">
        <f t="shared" si="3"/>
        <v>826666.66666666663</v>
      </c>
      <c r="G46">
        <f t="shared" si="3"/>
        <v>770000</v>
      </c>
    </row>
    <row r="47" spans="1:9" x14ac:dyDescent="0.2">
      <c r="A47" s="10" t="s">
        <v>48</v>
      </c>
      <c r="B47" s="8">
        <f>AVERAGE(B41,B43,B45)</f>
        <v>0.88666666666666671</v>
      </c>
      <c r="C47">
        <f>AVERAGE(B43,C43,C45)</f>
        <v>0.84</v>
      </c>
      <c r="D47">
        <f t="shared" ref="D47:G47" si="4">AVERAGE(D41,D43,D45)</f>
        <v>0.94999999999999984</v>
      </c>
      <c r="E47">
        <f t="shared" si="4"/>
        <v>0.8833333333333333</v>
      </c>
      <c r="F47">
        <f t="shared" si="4"/>
        <v>0.92333333333333334</v>
      </c>
      <c r="G47">
        <f t="shared" si="4"/>
        <v>0.95333333333333325</v>
      </c>
    </row>
    <row r="48" spans="1:9" x14ac:dyDescent="0.2">
      <c r="A48" s="10" t="s">
        <v>32</v>
      </c>
      <c r="B48" s="13">
        <f>B46*B37</f>
        <v>2562300</v>
      </c>
      <c r="C48" s="13">
        <f t="shared" ref="C48:G48" si="5">C46*C37</f>
        <v>2462400</v>
      </c>
      <c r="D48" s="13">
        <f t="shared" si="5"/>
        <v>2584800.0000000005</v>
      </c>
      <c r="E48" s="13">
        <f t="shared" si="5"/>
        <v>1828800</v>
      </c>
      <c r="F48" s="13">
        <f t="shared" si="5"/>
        <v>1781466.6666666667</v>
      </c>
      <c r="G48" s="13">
        <f t="shared" si="5"/>
        <v>1655500</v>
      </c>
    </row>
    <row r="49" spans="1:7" x14ac:dyDescent="0.2">
      <c r="A49" s="10" t="s">
        <v>56</v>
      </c>
      <c r="B49" s="36">
        <f>B48/B33</f>
        <v>0.93174545454545454</v>
      </c>
      <c r="C49" s="36">
        <f t="shared" ref="C49:E49" si="6">C48/C33</f>
        <v>0.89541818181818178</v>
      </c>
      <c r="D49" s="36">
        <f t="shared" si="6"/>
        <v>0.93992727272727294</v>
      </c>
      <c r="E49" s="36">
        <f t="shared" si="6"/>
        <v>0.66501818181818184</v>
      </c>
      <c r="F49" s="36">
        <f>F48/F33</f>
        <v>0.64780606060606061</v>
      </c>
      <c r="G49" s="36">
        <f>G48/G33</f>
        <v>0.60199999999999998</v>
      </c>
    </row>
    <row r="50" spans="1:7" x14ac:dyDescent="0.2">
      <c r="B50" s="36">
        <f>B40*B$37/B$33</f>
        <v>0.96360000000000001</v>
      </c>
      <c r="C50" s="36">
        <f t="shared" ref="C50:G50" si="7">C40*C$37/C$33</f>
        <v>0.86399999999999999</v>
      </c>
      <c r="D50" s="36">
        <f t="shared" si="7"/>
        <v>1.0996363636363637</v>
      </c>
      <c r="E50" s="36">
        <f t="shared" si="7"/>
        <v>0.75403636363636373</v>
      </c>
      <c r="F50" s="36">
        <f t="shared" si="7"/>
        <v>0.6896000000000001</v>
      </c>
      <c r="G50" s="36">
        <f t="shared" si="7"/>
        <v>0.59418181818181814</v>
      </c>
    </row>
    <row r="51" spans="1:7" x14ac:dyDescent="0.2">
      <c r="B51" s="36">
        <f>B42*B$37/B$33</f>
        <v>0.95563636363636362</v>
      </c>
      <c r="C51" s="36">
        <f t="shared" ref="C51:G51" si="8">C42*C$37/C$33</f>
        <v>0.95825454545454547</v>
      </c>
      <c r="D51" s="36">
        <f t="shared" si="8"/>
        <v>0.85614545454545454</v>
      </c>
      <c r="E51" s="36">
        <f t="shared" si="8"/>
        <v>0.56552727272727277</v>
      </c>
      <c r="F51" s="36">
        <f t="shared" si="8"/>
        <v>0.86200000000000021</v>
      </c>
      <c r="G51" s="36">
        <f t="shared" si="8"/>
        <v>0.59418181818181814</v>
      </c>
    </row>
    <row r="52" spans="1:7" x14ac:dyDescent="0.2">
      <c r="B52" s="36">
        <f>B44*B$37/B$33</f>
        <v>0.876</v>
      </c>
      <c r="C52" s="36">
        <f t="shared" ref="C52:G52" si="9">C44*C$37/C$33</f>
        <v>0.78545454545454541</v>
      </c>
      <c r="D52" s="36">
        <f t="shared" si="9"/>
        <v>0.86399999999999999</v>
      </c>
      <c r="E52" s="36">
        <f t="shared" si="9"/>
        <v>0.67549090909090914</v>
      </c>
      <c r="F52" s="36">
        <f t="shared" si="9"/>
        <v>0.3918181818181819</v>
      </c>
      <c r="G52" s="36">
        <f t="shared" si="9"/>
        <v>0.61763636363636365</v>
      </c>
    </row>
  </sheetData>
  <mergeCells count="7">
    <mergeCell ref="B39:G39"/>
    <mergeCell ref="B21:C21"/>
    <mergeCell ref="D21:E21"/>
    <mergeCell ref="F21:G21"/>
    <mergeCell ref="A1:B1"/>
    <mergeCell ref="A13:D13"/>
    <mergeCell ref="A21:A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674B-3A85-964D-ABDE-44ED8EA84AAF}">
  <dimension ref="A1:G1000"/>
  <sheetViews>
    <sheetView topLeftCell="A15" zoomScale="158" workbookViewId="0">
      <selection activeCell="B30" sqref="B30"/>
    </sheetView>
  </sheetViews>
  <sheetFormatPr baseColWidth="10" defaultColWidth="11.1640625" defaultRowHeight="15" customHeight="1" x14ac:dyDescent="0.2"/>
  <cols>
    <col min="1" max="1" width="38" style="16" customWidth="1"/>
    <col min="2" max="2" width="15.1640625" style="16" customWidth="1"/>
    <col min="3" max="3" width="17.1640625" style="16" customWidth="1"/>
    <col min="4" max="4" width="10.5" style="16" customWidth="1"/>
    <col min="5" max="5" width="13.5" style="16" customWidth="1"/>
    <col min="6" max="26" width="10.5" style="16" customWidth="1"/>
    <col min="27" max="16384" width="11.1640625" style="16"/>
  </cols>
  <sheetData>
    <row r="1" spans="1:6" ht="15.75" customHeight="1" x14ac:dyDescent="0.2">
      <c r="A1" s="69" t="s">
        <v>0</v>
      </c>
      <c r="B1" s="68"/>
    </row>
    <row r="2" spans="1:6" ht="15.75" customHeight="1" x14ac:dyDescent="0.2">
      <c r="A2" s="34" t="s">
        <v>1</v>
      </c>
      <c r="B2" s="33"/>
      <c r="C2" s="32"/>
    </row>
    <row r="3" spans="1:6" ht="15.75" customHeight="1" x14ac:dyDescent="0.2">
      <c r="A3" s="16" t="s">
        <v>2</v>
      </c>
      <c r="B3" s="31"/>
    </row>
    <row r="4" spans="1:6" ht="15.75" customHeight="1" x14ac:dyDescent="0.2">
      <c r="A4" s="16" t="s">
        <v>3</v>
      </c>
      <c r="B4" s="30"/>
    </row>
    <row r="5" spans="1:6" ht="15.75" customHeight="1" x14ac:dyDescent="0.2">
      <c r="A5" s="16" t="s">
        <v>4</v>
      </c>
      <c r="B5" s="30"/>
    </row>
    <row r="6" spans="1:6" ht="15.75" customHeight="1" x14ac:dyDescent="0.2">
      <c r="A6" s="16" t="s">
        <v>5</v>
      </c>
      <c r="B6" s="30">
        <v>0.61504629629629626</v>
      </c>
    </row>
    <row r="7" spans="1:6" ht="15.75" customHeight="1" x14ac:dyDescent="0.2">
      <c r="A7" s="16" t="s">
        <v>6</v>
      </c>
      <c r="B7" s="29">
        <v>10</v>
      </c>
    </row>
    <row r="8" spans="1:6" ht="15.75" customHeight="1" x14ac:dyDescent="0.2">
      <c r="A8" s="16" t="s">
        <v>7</v>
      </c>
      <c r="B8" s="30">
        <v>0.62083333333333335</v>
      </c>
    </row>
    <row r="9" spans="1:6" ht="15.75" customHeight="1" x14ac:dyDescent="0.2">
      <c r="A9" s="16" t="s">
        <v>40</v>
      </c>
      <c r="B9" s="30">
        <v>0.62135416666666665</v>
      </c>
    </row>
    <row r="10" spans="1:6" ht="15.75" customHeight="1" x14ac:dyDescent="0.2">
      <c r="A10" s="16" t="s">
        <v>8</v>
      </c>
      <c r="B10" s="29">
        <v>10</v>
      </c>
      <c r="C10" s="16" t="s">
        <v>9</v>
      </c>
      <c r="D10" s="28">
        <v>0.6255208333333333</v>
      </c>
    </row>
    <row r="11" spans="1:6" ht="15.75" customHeight="1" x14ac:dyDescent="0.2">
      <c r="A11" s="16" t="s">
        <v>39</v>
      </c>
      <c r="B11" s="28">
        <v>0.62716435185185182</v>
      </c>
      <c r="C11" s="16" t="s">
        <v>10</v>
      </c>
      <c r="D11" s="21">
        <f>1650000*B10/C18</f>
        <v>1.6734279918864097</v>
      </c>
      <c r="E11" s="16" t="s">
        <v>11</v>
      </c>
      <c r="F11" s="16">
        <v>1.67</v>
      </c>
    </row>
    <row r="12" spans="1:6" ht="15.75" customHeight="1" x14ac:dyDescent="0.2"/>
    <row r="13" spans="1:6" ht="15.75" customHeight="1" x14ac:dyDescent="0.2">
      <c r="A13" s="69" t="s">
        <v>12</v>
      </c>
      <c r="B13" s="68"/>
      <c r="C13" s="68"/>
      <c r="D13" s="68"/>
    </row>
    <row r="14" spans="1:6" ht="15.75" customHeight="1" x14ac:dyDescent="0.2">
      <c r="B14" s="16" t="s">
        <v>13</v>
      </c>
      <c r="C14" s="16" t="s">
        <v>14</v>
      </c>
      <c r="D14" s="16" t="s">
        <v>15</v>
      </c>
    </row>
    <row r="15" spans="1:6" ht="15.75" customHeight="1" x14ac:dyDescent="0.2">
      <c r="A15" s="16" t="s">
        <v>16</v>
      </c>
      <c r="B15" s="21">
        <v>840000</v>
      </c>
      <c r="C15" s="21">
        <v>840000</v>
      </c>
      <c r="D15" s="23">
        <v>1</v>
      </c>
    </row>
    <row r="16" spans="1:6" ht="15.75" customHeight="1" x14ac:dyDescent="0.2">
      <c r="A16" s="16" t="s">
        <v>17</v>
      </c>
      <c r="B16" s="21">
        <v>1040000</v>
      </c>
      <c r="C16" s="21">
        <v>1040000</v>
      </c>
      <c r="D16" s="23">
        <v>1</v>
      </c>
    </row>
    <row r="17" spans="1:7" ht="15.75" customHeight="1" x14ac:dyDescent="0.2">
      <c r="A17" s="16" t="s">
        <v>18</v>
      </c>
      <c r="B17" s="21">
        <v>1100000</v>
      </c>
      <c r="C17" s="21">
        <f>D17*B17</f>
        <v>1078000</v>
      </c>
      <c r="D17" s="23">
        <v>0.98</v>
      </c>
    </row>
    <row r="18" spans="1:7" ht="15.75" customHeight="1" x14ac:dyDescent="0.2">
      <c r="B18" s="16" t="s">
        <v>19</v>
      </c>
      <c r="C18" s="21">
        <f>AVERAGE(C15:C17)*B7</f>
        <v>9860000</v>
      </c>
      <c r="D18" s="23"/>
      <c r="F18" s="21"/>
    </row>
    <row r="19" spans="1:7" ht="15.75" customHeight="1" x14ac:dyDescent="0.2">
      <c r="C19" s="21"/>
      <c r="D19" s="23"/>
    </row>
    <row r="20" spans="1:7" ht="15.75" customHeight="1" x14ac:dyDescent="0.2"/>
    <row r="21" spans="1:7" ht="15.75" customHeight="1" x14ac:dyDescent="0.2">
      <c r="A21" s="70" t="s">
        <v>20</v>
      </c>
      <c r="B21" s="67" t="s">
        <v>50</v>
      </c>
      <c r="C21" s="68"/>
      <c r="D21" s="67" t="s">
        <v>49</v>
      </c>
      <c r="E21" s="68"/>
      <c r="F21" s="67" t="s">
        <v>51</v>
      </c>
      <c r="G21" s="68"/>
    </row>
    <row r="22" spans="1:7" ht="15.75" customHeight="1" x14ac:dyDescent="0.2">
      <c r="A22" s="68"/>
      <c r="B22" s="19">
        <v>1</v>
      </c>
      <c r="C22" s="19">
        <v>2</v>
      </c>
      <c r="D22" s="19">
        <v>3</v>
      </c>
      <c r="E22" s="19">
        <v>4</v>
      </c>
      <c r="F22" s="19">
        <v>5</v>
      </c>
      <c r="G22" s="19">
        <v>6</v>
      </c>
    </row>
    <row r="23" spans="1:7" ht="15.75" customHeight="1" x14ac:dyDescent="0.2">
      <c r="A23" s="19" t="s">
        <v>21</v>
      </c>
      <c r="B23" s="25"/>
      <c r="C23" s="25"/>
      <c r="D23" s="25"/>
      <c r="E23" s="25"/>
      <c r="F23" s="25"/>
      <c r="G23" s="25"/>
    </row>
    <row r="24" spans="1:7" ht="15.75" customHeight="1" x14ac:dyDescent="0.2">
      <c r="A24" s="19" t="s">
        <v>22</v>
      </c>
      <c r="B24" s="25"/>
      <c r="C24" s="25"/>
      <c r="D24" s="25"/>
      <c r="E24" s="25"/>
      <c r="F24" s="25"/>
      <c r="G24" s="25"/>
    </row>
    <row r="25" spans="1:7" ht="15.75" customHeight="1" x14ac:dyDescent="0.2">
      <c r="A25" s="19" t="s">
        <v>23</v>
      </c>
      <c r="B25" s="25"/>
      <c r="C25" s="25"/>
      <c r="D25" s="25"/>
      <c r="E25" s="25"/>
      <c r="F25" s="25"/>
      <c r="G25" s="25"/>
    </row>
    <row r="26" spans="1:7" ht="15.75" customHeight="1" x14ac:dyDescent="0.2">
      <c r="A26" s="19" t="s">
        <v>24</v>
      </c>
      <c r="B26" s="25"/>
      <c r="C26" s="25"/>
      <c r="D26" s="25"/>
      <c r="E26" s="25"/>
      <c r="F26" s="27"/>
      <c r="G26" s="25"/>
    </row>
    <row r="27" spans="1:7" ht="15.75" customHeight="1" x14ac:dyDescent="0.2">
      <c r="A27" s="19" t="s">
        <v>25</v>
      </c>
      <c r="B27" s="25"/>
      <c r="C27" s="25"/>
      <c r="D27" s="25"/>
      <c r="E27" s="25"/>
      <c r="F27" s="27"/>
      <c r="G27" s="25"/>
    </row>
    <row r="28" spans="1:7" ht="15.75" customHeight="1" x14ac:dyDescent="0.2">
      <c r="A28" s="19" t="s">
        <v>26</v>
      </c>
      <c r="B28" s="25"/>
      <c r="C28" s="25"/>
      <c r="D28" s="25"/>
      <c r="E28" s="25"/>
      <c r="F28" s="25"/>
      <c r="G28" s="25"/>
    </row>
    <row r="29" spans="1:7" ht="15.75" customHeight="1" x14ac:dyDescent="0.2">
      <c r="A29" s="19" t="s">
        <v>27</v>
      </c>
      <c r="B29" s="25"/>
      <c r="C29" s="25"/>
      <c r="D29" s="25"/>
      <c r="E29" s="25"/>
      <c r="F29" s="25"/>
      <c r="G29" s="25"/>
    </row>
    <row r="30" spans="1:7" ht="15.75" customHeight="1" x14ac:dyDescent="0.2">
      <c r="A30" s="19" t="s">
        <v>28</v>
      </c>
      <c r="B30" s="19">
        <v>100</v>
      </c>
      <c r="C30" s="19">
        <v>50</v>
      </c>
      <c r="D30" s="19">
        <v>50</v>
      </c>
      <c r="E30" s="19">
        <v>50</v>
      </c>
      <c r="F30" s="19">
        <v>50</v>
      </c>
      <c r="G30" s="19">
        <v>50</v>
      </c>
    </row>
    <row r="31" spans="1:7" ht="15.75" customHeight="1" x14ac:dyDescent="0.2">
      <c r="A31" s="19" t="s">
        <v>29</v>
      </c>
      <c r="B31" s="26">
        <v>1600000</v>
      </c>
      <c r="C31" s="26">
        <v>1600000</v>
      </c>
      <c r="D31" s="26">
        <v>1600000</v>
      </c>
      <c r="E31" s="26">
        <v>1600000</v>
      </c>
      <c r="F31" s="26">
        <v>1600000</v>
      </c>
      <c r="G31" s="26">
        <v>1600000</v>
      </c>
    </row>
    <row r="32" spans="1:7" ht="15.75" customHeight="1" x14ac:dyDescent="0.2">
      <c r="A32" s="19" t="s">
        <v>30</v>
      </c>
      <c r="B32" s="19">
        <v>40</v>
      </c>
      <c r="C32" s="19">
        <v>40</v>
      </c>
      <c r="D32" s="19">
        <v>50</v>
      </c>
      <c r="E32" s="19">
        <v>55</v>
      </c>
      <c r="F32" s="19">
        <v>50</v>
      </c>
      <c r="G32" s="19">
        <v>50</v>
      </c>
    </row>
    <row r="33" spans="1:7" ht="15.75" customHeight="1" x14ac:dyDescent="0.2">
      <c r="A33" s="19" t="s">
        <v>31</v>
      </c>
      <c r="B33" s="35">
        <f t="shared" ref="B33:G33" si="0">B31*B32/B30</f>
        <v>640000</v>
      </c>
      <c r="C33" s="35">
        <f t="shared" si="0"/>
        <v>1280000</v>
      </c>
      <c r="D33" s="35">
        <f t="shared" si="0"/>
        <v>1600000</v>
      </c>
      <c r="E33" s="35">
        <f t="shared" si="0"/>
        <v>1760000</v>
      </c>
      <c r="F33" s="35">
        <f t="shared" si="0"/>
        <v>1600000</v>
      </c>
      <c r="G33" s="35">
        <f t="shared" si="0"/>
        <v>1600000</v>
      </c>
    </row>
    <row r="34" spans="1:7" ht="15.75" customHeight="1" x14ac:dyDescent="0.2"/>
    <row r="35" spans="1:7" ht="15.75" customHeight="1" x14ac:dyDescent="0.2">
      <c r="A35" s="19" t="s">
        <v>33</v>
      </c>
      <c r="B35" s="19">
        <v>100</v>
      </c>
      <c r="C35" s="19">
        <v>100</v>
      </c>
      <c r="D35" s="19">
        <v>100</v>
      </c>
      <c r="E35" s="19">
        <v>100</v>
      </c>
      <c r="F35" s="19">
        <v>100</v>
      </c>
      <c r="G35" s="19">
        <v>100</v>
      </c>
    </row>
    <row r="36" spans="1:7" ht="15.75" customHeight="1" x14ac:dyDescent="0.2">
      <c r="A36" s="19" t="s">
        <v>34</v>
      </c>
      <c r="B36" s="19">
        <v>1.1000000000000001</v>
      </c>
      <c r="C36" s="19">
        <v>1.1000000000000001</v>
      </c>
      <c r="D36" s="19">
        <v>1.1000000000000001</v>
      </c>
      <c r="E36" s="19">
        <v>1.1000000000000001</v>
      </c>
      <c r="F36" s="19">
        <v>1.1000000000000001</v>
      </c>
      <c r="G36" s="19">
        <v>1.1000000000000001</v>
      </c>
    </row>
    <row r="37" spans="1:7" ht="15.75" customHeight="1" x14ac:dyDescent="0.2">
      <c r="A37" s="19" t="s">
        <v>35</v>
      </c>
      <c r="B37" s="19">
        <f t="shared" ref="B37:G37" si="1">B36+B32/1000+B35/1000</f>
        <v>1.2400000000000002</v>
      </c>
      <c r="C37" s="19">
        <f t="shared" si="1"/>
        <v>1.2400000000000002</v>
      </c>
      <c r="D37" s="19">
        <f t="shared" si="1"/>
        <v>1.2500000000000002</v>
      </c>
      <c r="E37" s="19">
        <f t="shared" si="1"/>
        <v>1.2550000000000001</v>
      </c>
      <c r="F37" s="19">
        <f t="shared" si="1"/>
        <v>1.2500000000000002</v>
      </c>
      <c r="G37" s="19">
        <f t="shared" si="1"/>
        <v>1.2500000000000002</v>
      </c>
    </row>
    <row r="38" spans="1:7" ht="15.75" customHeight="1" x14ac:dyDescent="0.2">
      <c r="A38" s="19" t="s">
        <v>36</v>
      </c>
      <c r="B38" s="25">
        <v>0.65190972222222221</v>
      </c>
      <c r="C38" s="25">
        <v>0.65763888888888888</v>
      </c>
      <c r="D38" s="25">
        <v>0.66255787037037039</v>
      </c>
      <c r="E38" s="25">
        <v>0.66969907407407403</v>
      </c>
      <c r="F38" s="25">
        <v>0.67530092592592583</v>
      </c>
      <c r="G38" s="25">
        <v>0.68206018518518519</v>
      </c>
    </row>
    <row r="39" spans="1:7" ht="15.75" customHeight="1" x14ac:dyDescent="0.2">
      <c r="A39" s="19" t="s">
        <v>37</v>
      </c>
      <c r="B39" s="69" t="s">
        <v>38</v>
      </c>
      <c r="C39" s="68"/>
      <c r="D39" s="68"/>
      <c r="E39" s="68"/>
      <c r="F39" s="68"/>
      <c r="G39" s="68"/>
    </row>
    <row r="40" spans="1:7" ht="15.75" customHeight="1" x14ac:dyDescent="0.2">
      <c r="A40" s="19" t="s">
        <v>41</v>
      </c>
      <c r="B40" s="21">
        <v>920000</v>
      </c>
      <c r="C40" s="20">
        <v>980000</v>
      </c>
      <c r="D40" s="21">
        <v>800000</v>
      </c>
      <c r="E40" s="21">
        <v>1000000</v>
      </c>
      <c r="F40" s="21">
        <v>660000</v>
      </c>
      <c r="G40" s="21">
        <v>900000</v>
      </c>
    </row>
    <row r="41" spans="1:7" ht="15.75" customHeight="1" x14ac:dyDescent="0.2">
      <c r="A41" s="19" t="s">
        <v>42</v>
      </c>
      <c r="B41" s="24">
        <v>0.87</v>
      </c>
      <c r="C41" s="23">
        <v>0.9</v>
      </c>
      <c r="D41" s="24">
        <v>0.9</v>
      </c>
      <c r="E41" s="24">
        <v>0.98</v>
      </c>
      <c r="F41" s="24">
        <v>0.91</v>
      </c>
      <c r="G41" s="24">
        <v>0.95</v>
      </c>
    </row>
    <row r="42" spans="1:7" ht="15.75" customHeight="1" x14ac:dyDescent="0.2">
      <c r="A42" s="19" t="s">
        <v>43</v>
      </c>
      <c r="B42" s="20">
        <v>910000</v>
      </c>
      <c r="C42" s="21">
        <v>940000</v>
      </c>
      <c r="D42" s="21">
        <v>680000</v>
      </c>
      <c r="E42" s="21">
        <v>920000</v>
      </c>
      <c r="F42" s="21">
        <v>760000</v>
      </c>
      <c r="G42" s="21">
        <v>620000</v>
      </c>
    </row>
    <row r="43" spans="1:7" ht="15.75" customHeight="1" x14ac:dyDescent="0.2">
      <c r="A43" s="19" t="s">
        <v>44</v>
      </c>
      <c r="B43" s="23">
        <v>0.89</v>
      </c>
      <c r="C43" s="23">
        <v>0.9</v>
      </c>
      <c r="D43" s="23">
        <v>0.9</v>
      </c>
      <c r="E43" s="23">
        <v>0.92</v>
      </c>
      <c r="F43" s="23">
        <v>1</v>
      </c>
      <c r="G43" s="23">
        <v>0.98</v>
      </c>
    </row>
    <row r="44" spans="1:7" ht="15.75" customHeight="1" x14ac:dyDescent="0.2">
      <c r="A44" s="19" t="s">
        <v>45</v>
      </c>
      <c r="B44" s="21">
        <v>860000</v>
      </c>
      <c r="C44" s="21">
        <v>780000</v>
      </c>
      <c r="D44" s="21">
        <v>640000</v>
      </c>
      <c r="E44" s="21">
        <v>860000</v>
      </c>
      <c r="F44" s="21">
        <v>560000</v>
      </c>
      <c r="G44" s="21">
        <v>700000</v>
      </c>
    </row>
    <row r="45" spans="1:7" ht="15.75" customHeight="1" x14ac:dyDescent="0.2">
      <c r="A45" s="19" t="s">
        <v>46</v>
      </c>
      <c r="B45" s="23">
        <v>0.88</v>
      </c>
      <c r="C45" s="23">
        <v>0.92</v>
      </c>
      <c r="D45" s="23">
        <v>1</v>
      </c>
      <c r="E45" s="23">
        <v>1</v>
      </c>
      <c r="F45" s="23">
        <v>0.93</v>
      </c>
      <c r="G45" s="23">
        <v>0.95</v>
      </c>
    </row>
    <row r="46" spans="1:7" ht="15.75" customHeight="1" x14ac:dyDescent="0.2">
      <c r="A46" s="19" t="s">
        <v>47</v>
      </c>
      <c r="B46" s="21">
        <f>AVERAGE(B40,B42,B44)</f>
        <v>896666.66666666663</v>
      </c>
      <c r="C46" s="22">
        <f>AVERAGE(B42,C42,C44)</f>
        <v>876666.66666666663</v>
      </c>
      <c r="D46" s="22">
        <f t="shared" ref="D46:G47" si="2">AVERAGE(D40,D42,D44)</f>
        <v>706666.66666666663</v>
      </c>
      <c r="E46" s="22">
        <f t="shared" si="2"/>
        <v>926666.66666666663</v>
      </c>
      <c r="F46" s="22">
        <f t="shared" si="2"/>
        <v>660000</v>
      </c>
      <c r="G46" s="22">
        <f t="shared" si="2"/>
        <v>740000</v>
      </c>
    </row>
    <row r="47" spans="1:7" ht="15.75" customHeight="1" x14ac:dyDescent="0.2">
      <c r="A47" s="19" t="s">
        <v>48</v>
      </c>
      <c r="B47" s="21">
        <f>AVERAGE(B41,B43,B45)</f>
        <v>0.88</v>
      </c>
      <c r="C47" s="21">
        <f>AVERAGE(C41,C43,C45)</f>
        <v>0.90666666666666673</v>
      </c>
      <c r="D47" s="21">
        <f t="shared" si="2"/>
        <v>0.93333333333333324</v>
      </c>
      <c r="E47" s="21">
        <f t="shared" si="2"/>
        <v>0.96666666666666667</v>
      </c>
      <c r="F47" s="21">
        <f t="shared" si="2"/>
        <v>0.94666666666666677</v>
      </c>
      <c r="G47" s="21">
        <f t="shared" si="2"/>
        <v>0.96</v>
      </c>
    </row>
    <row r="48" spans="1:7" ht="15.75" customHeight="1" x14ac:dyDescent="0.2">
      <c r="A48" s="19" t="s">
        <v>32</v>
      </c>
      <c r="B48" s="20">
        <f t="shared" ref="B48:G48" si="3">B46*B37</f>
        <v>1111866.6666666667</v>
      </c>
      <c r="C48" s="20">
        <f t="shared" si="3"/>
        <v>1087066.6666666667</v>
      </c>
      <c r="D48" s="20">
        <f t="shared" si="3"/>
        <v>883333.33333333349</v>
      </c>
      <c r="E48" s="20">
        <f t="shared" si="3"/>
        <v>1162966.6666666667</v>
      </c>
      <c r="F48" s="20">
        <f t="shared" si="3"/>
        <v>825000.00000000012</v>
      </c>
      <c r="G48" s="20">
        <f t="shared" si="3"/>
        <v>925000.00000000012</v>
      </c>
    </row>
    <row r="49" spans="1:7" ht="15.75" customHeight="1" x14ac:dyDescent="0.2">
      <c r="A49" s="19"/>
      <c r="B49" s="18">
        <f t="shared" ref="B49:G49" si="4">B48/B33</f>
        <v>1.7372916666666667</v>
      </c>
      <c r="C49" s="18">
        <f t="shared" si="4"/>
        <v>0.84927083333333342</v>
      </c>
      <c r="D49" s="18">
        <f t="shared" si="4"/>
        <v>0.55208333333333348</v>
      </c>
      <c r="E49" s="18">
        <f t="shared" si="4"/>
        <v>0.66077651515151514</v>
      </c>
      <c r="F49" s="17">
        <f t="shared" si="4"/>
        <v>0.51562500000000011</v>
      </c>
      <c r="G49" s="17">
        <f t="shared" si="4"/>
        <v>0.57812500000000011</v>
      </c>
    </row>
    <row r="50" spans="1:7" ht="15.75" customHeight="1" x14ac:dyDescent="0.2">
      <c r="B50" s="8">
        <f>B40*B$37/B$33</f>
        <v>1.7825000000000004</v>
      </c>
      <c r="C50" s="8">
        <f t="shared" ref="C50:G50" si="5">C40*C$37/C$33</f>
        <v>0.94937500000000019</v>
      </c>
      <c r="D50" s="8">
        <f t="shared" si="5"/>
        <v>0.62500000000000011</v>
      </c>
      <c r="E50" s="8">
        <f t="shared" si="5"/>
        <v>0.71306818181818177</v>
      </c>
      <c r="F50" s="8">
        <f t="shared" si="5"/>
        <v>0.51562500000000011</v>
      </c>
      <c r="G50" s="8">
        <f t="shared" si="5"/>
        <v>0.70312500000000011</v>
      </c>
    </row>
    <row r="51" spans="1:7" ht="15.75" customHeight="1" x14ac:dyDescent="0.2">
      <c r="B51" s="8">
        <f>B42*B$37/B$33</f>
        <v>1.7631250000000003</v>
      </c>
      <c r="C51" s="8">
        <f t="shared" ref="C51:G51" si="6">C42*C$37/C$33</f>
        <v>0.91062500000000013</v>
      </c>
      <c r="D51" s="8">
        <f t="shared" si="6"/>
        <v>0.53125000000000011</v>
      </c>
      <c r="E51" s="8">
        <f t="shared" si="6"/>
        <v>0.65602272727272726</v>
      </c>
      <c r="F51" s="8">
        <f t="shared" si="6"/>
        <v>0.59375000000000011</v>
      </c>
      <c r="G51" s="8">
        <f t="shared" si="6"/>
        <v>0.48437500000000006</v>
      </c>
    </row>
    <row r="52" spans="1:7" ht="15.75" customHeight="1" x14ac:dyDescent="0.2">
      <c r="B52" s="8">
        <f>B44*B$37/B$33</f>
        <v>1.6662500000000005</v>
      </c>
      <c r="C52" s="8">
        <f t="shared" ref="C52:G52" si="7">C44*C$37/C$33</f>
        <v>0.7556250000000001</v>
      </c>
      <c r="D52" s="8">
        <f t="shared" si="7"/>
        <v>0.50000000000000011</v>
      </c>
      <c r="E52" s="8">
        <f t="shared" si="7"/>
        <v>0.6132386363636364</v>
      </c>
      <c r="F52" s="8">
        <f t="shared" si="7"/>
        <v>0.43750000000000006</v>
      </c>
      <c r="G52" s="8">
        <f t="shared" si="7"/>
        <v>0.54687500000000011</v>
      </c>
    </row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F21:G21"/>
    <mergeCell ref="B39:G39"/>
    <mergeCell ref="A1:B1"/>
    <mergeCell ref="A13:D13"/>
    <mergeCell ref="A21:A22"/>
    <mergeCell ref="B21:C21"/>
    <mergeCell ref="D21:E2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939-524F-154C-B310-A93B34B0927D}">
  <dimension ref="A1:G1001"/>
  <sheetViews>
    <sheetView topLeftCell="A20" zoomScale="158" workbookViewId="0">
      <selection activeCell="B56" sqref="B56:G58"/>
    </sheetView>
  </sheetViews>
  <sheetFormatPr baseColWidth="10" defaultColWidth="11.1640625" defaultRowHeight="15" customHeight="1" x14ac:dyDescent="0.2"/>
  <cols>
    <col min="1" max="1" width="38" style="16" customWidth="1"/>
    <col min="2" max="2" width="15.1640625" style="16" customWidth="1"/>
    <col min="3" max="3" width="17.1640625" style="16" customWidth="1"/>
    <col min="4" max="4" width="10.5" style="16" customWidth="1"/>
    <col min="5" max="5" width="13.5" style="16" customWidth="1"/>
    <col min="6" max="26" width="10.5" style="16" customWidth="1"/>
    <col min="27" max="16384" width="11.1640625" style="16"/>
  </cols>
  <sheetData>
    <row r="1" spans="1:6" ht="15.75" customHeight="1" x14ac:dyDescent="0.2">
      <c r="A1" s="69" t="s">
        <v>0</v>
      </c>
      <c r="B1" s="68"/>
    </row>
    <row r="2" spans="1:6" ht="15.75" customHeight="1" x14ac:dyDescent="0.2">
      <c r="A2" s="34" t="s">
        <v>1</v>
      </c>
      <c r="B2" s="33">
        <v>0.43888888888888888</v>
      </c>
      <c r="C2" s="32"/>
    </row>
    <row r="3" spans="1:6" ht="15.75" customHeight="1" x14ac:dyDescent="0.2">
      <c r="A3" s="16" t="s">
        <v>2</v>
      </c>
      <c r="B3" s="31" t="s">
        <v>67</v>
      </c>
    </row>
    <row r="4" spans="1:6" ht="15.75" customHeight="1" x14ac:dyDescent="0.2">
      <c r="A4" s="16" t="s">
        <v>3</v>
      </c>
      <c r="B4" s="30">
        <v>0.43194444444444446</v>
      </c>
    </row>
    <row r="5" spans="1:6" ht="15.75" customHeight="1" x14ac:dyDescent="0.2">
      <c r="A5" s="16" t="s">
        <v>4</v>
      </c>
      <c r="B5" s="30">
        <v>0.44097222222222221</v>
      </c>
    </row>
    <row r="6" spans="1:6" ht="15.75" customHeight="1" x14ac:dyDescent="0.2">
      <c r="A6" s="16" t="s">
        <v>5</v>
      </c>
      <c r="B6" s="30"/>
    </row>
    <row r="7" spans="1:6" ht="15.75" customHeight="1" x14ac:dyDescent="0.2">
      <c r="A7" s="16" t="s">
        <v>6</v>
      </c>
      <c r="B7" s="29">
        <v>10</v>
      </c>
    </row>
    <row r="8" spans="1:6" ht="15.75" customHeight="1" x14ac:dyDescent="0.2">
      <c r="A8" s="16" t="s">
        <v>7</v>
      </c>
      <c r="B8" s="30"/>
    </row>
    <row r="9" spans="1:6" ht="15.75" customHeight="1" x14ac:dyDescent="0.2">
      <c r="A9" s="16" t="s">
        <v>40</v>
      </c>
      <c r="B9" s="30"/>
    </row>
    <row r="10" spans="1:6" ht="15.75" customHeight="1" x14ac:dyDescent="0.2">
      <c r="A10" s="16" t="s">
        <v>8</v>
      </c>
      <c r="B10" s="29">
        <v>10</v>
      </c>
      <c r="C10" s="16" t="s">
        <v>9</v>
      </c>
      <c r="D10" s="28"/>
    </row>
    <row r="11" spans="1:6" ht="15.75" customHeight="1" x14ac:dyDescent="0.2">
      <c r="A11" s="16" t="s">
        <v>39</v>
      </c>
      <c r="B11" s="28"/>
      <c r="C11" s="16" t="s">
        <v>10</v>
      </c>
      <c r="D11" s="21">
        <f>1650000*B10/C19</f>
        <v>1.853932584269663</v>
      </c>
      <c r="E11" s="16" t="s">
        <v>11</v>
      </c>
      <c r="F11" s="16">
        <v>1.67</v>
      </c>
    </row>
    <row r="12" spans="1:6" ht="15.75" customHeight="1" x14ac:dyDescent="0.2"/>
    <row r="13" spans="1:6" ht="15.75" customHeight="1" x14ac:dyDescent="0.2">
      <c r="A13" s="69" t="s">
        <v>12</v>
      </c>
      <c r="B13" s="68"/>
      <c r="C13" s="68"/>
      <c r="D13" s="68"/>
    </row>
    <row r="14" spans="1:6" ht="15.75" customHeight="1" x14ac:dyDescent="0.2">
      <c r="B14" s="16" t="s">
        <v>13</v>
      </c>
      <c r="C14" s="16" t="s">
        <v>14</v>
      </c>
      <c r="D14" s="52" t="s">
        <v>70</v>
      </c>
      <c r="E14" s="52" t="s">
        <v>68</v>
      </c>
    </row>
    <row r="15" spans="1:6" ht="15.75" customHeight="1" x14ac:dyDescent="0.2">
      <c r="A15" s="16" t="s">
        <v>16</v>
      </c>
      <c r="B15" s="21">
        <f>E15*2*10000</f>
        <v>840000</v>
      </c>
      <c r="C15" s="21">
        <f>(E15-D15)*10000*2</f>
        <v>840000</v>
      </c>
      <c r="D15" s="54">
        <v>0</v>
      </c>
      <c r="E15" s="16">
        <v>42</v>
      </c>
    </row>
    <row r="16" spans="1:6" ht="15.75" customHeight="1" x14ac:dyDescent="0.2">
      <c r="A16" s="16" t="s">
        <v>17</v>
      </c>
      <c r="B16" s="21">
        <f t="shared" ref="B16:B18" si="0">E16*2*10000</f>
        <v>1000000</v>
      </c>
      <c r="C16" s="21">
        <f t="shared" ref="C16:C18" si="1">(E16-D16)*10000*2</f>
        <v>960000</v>
      </c>
      <c r="D16" s="54">
        <v>2</v>
      </c>
      <c r="E16" s="16">
        <v>50</v>
      </c>
    </row>
    <row r="17" spans="1:7" ht="15.75" customHeight="1" x14ac:dyDescent="0.2">
      <c r="A17" s="16" t="s">
        <v>18</v>
      </c>
      <c r="B17" s="21">
        <f t="shared" si="0"/>
        <v>860000</v>
      </c>
      <c r="C17" s="21">
        <f t="shared" si="1"/>
        <v>860000</v>
      </c>
      <c r="D17" s="54">
        <v>0</v>
      </c>
      <c r="E17" s="16">
        <v>43</v>
      </c>
    </row>
    <row r="18" spans="1:7" ht="15.75" customHeight="1" x14ac:dyDescent="0.2">
      <c r="A18" s="52" t="s">
        <v>69</v>
      </c>
      <c r="B18" s="21">
        <f t="shared" si="0"/>
        <v>940000</v>
      </c>
      <c r="C18" s="21">
        <f t="shared" si="1"/>
        <v>900000</v>
      </c>
      <c r="D18" s="54">
        <v>2</v>
      </c>
      <c r="E18" s="16">
        <v>47</v>
      </c>
    </row>
    <row r="19" spans="1:7" ht="15.75" customHeight="1" x14ac:dyDescent="0.2">
      <c r="B19" s="16" t="s">
        <v>19</v>
      </c>
      <c r="C19" s="21">
        <f>AVERAGE(C15:C18)*B7</f>
        <v>8900000</v>
      </c>
      <c r="D19" s="23"/>
      <c r="F19" s="21"/>
    </row>
    <row r="20" spans="1:7" ht="15.75" customHeight="1" x14ac:dyDescent="0.2">
      <c r="C20" s="21"/>
      <c r="D20" s="23"/>
    </row>
    <row r="21" spans="1:7" ht="15.75" customHeight="1" x14ac:dyDescent="0.2"/>
    <row r="22" spans="1:7" ht="15.75" customHeight="1" x14ac:dyDescent="0.2">
      <c r="A22" s="70" t="s">
        <v>20</v>
      </c>
      <c r="B22" s="67" t="s">
        <v>50</v>
      </c>
      <c r="C22" s="68"/>
      <c r="D22" s="67" t="s">
        <v>49</v>
      </c>
      <c r="E22" s="68"/>
      <c r="F22" s="67" t="s">
        <v>51</v>
      </c>
      <c r="G22" s="68"/>
    </row>
    <row r="23" spans="1:7" ht="15.75" customHeight="1" x14ac:dyDescent="0.2">
      <c r="A23" s="68"/>
      <c r="B23" s="19">
        <v>1</v>
      </c>
      <c r="C23" s="19">
        <v>2</v>
      </c>
      <c r="D23" s="19">
        <v>3</v>
      </c>
      <c r="E23" s="19">
        <v>4</v>
      </c>
      <c r="F23" s="19">
        <v>5</v>
      </c>
      <c r="G23" s="19">
        <v>6</v>
      </c>
    </row>
    <row r="24" spans="1:7" ht="15.75" customHeight="1" x14ac:dyDescent="0.2">
      <c r="A24" s="19" t="s">
        <v>21</v>
      </c>
      <c r="B24" s="25"/>
      <c r="C24" s="25"/>
      <c r="D24" s="25"/>
      <c r="E24" s="25"/>
      <c r="F24" s="25"/>
      <c r="G24" s="25"/>
    </row>
    <row r="25" spans="1:7" ht="15.75" customHeight="1" x14ac:dyDescent="0.2">
      <c r="A25" s="19" t="s">
        <v>22</v>
      </c>
      <c r="B25" s="25">
        <v>0.48333333333333334</v>
      </c>
      <c r="C25" s="25">
        <v>0.48749999999999999</v>
      </c>
      <c r="D25" s="25">
        <v>0.4909722222222222</v>
      </c>
      <c r="E25" s="25"/>
      <c r="F25" s="25"/>
      <c r="G25" s="25"/>
    </row>
    <row r="26" spans="1:7" ht="15.75" customHeight="1" x14ac:dyDescent="0.2">
      <c r="A26" s="19" t="s">
        <v>23</v>
      </c>
      <c r="B26" s="25">
        <v>0.48472222222222222</v>
      </c>
      <c r="C26" s="25">
        <v>0.48749999999999999</v>
      </c>
      <c r="D26" s="25" t="s">
        <v>79</v>
      </c>
      <c r="E26" s="25"/>
      <c r="F26" s="25"/>
      <c r="G26" s="25"/>
    </row>
    <row r="27" spans="1:7" ht="15.75" customHeight="1" x14ac:dyDescent="0.2">
      <c r="A27" s="19" t="s">
        <v>24</v>
      </c>
      <c r="B27" s="25" t="s">
        <v>77</v>
      </c>
      <c r="C27" s="25" t="s">
        <v>78</v>
      </c>
      <c r="D27" s="25" t="s">
        <v>81</v>
      </c>
      <c r="E27" s="25" t="s">
        <v>80</v>
      </c>
      <c r="F27" s="27" t="s">
        <v>82</v>
      </c>
      <c r="G27" s="25" t="s">
        <v>83</v>
      </c>
    </row>
    <row r="28" spans="1:7" ht="15.75" customHeight="1" x14ac:dyDescent="0.2">
      <c r="A28" s="19" t="s">
        <v>25</v>
      </c>
      <c r="B28" s="25"/>
      <c r="C28" s="25">
        <v>0.48819444444444443</v>
      </c>
      <c r="D28" s="25">
        <v>0.49305555555555558</v>
      </c>
      <c r="E28" s="25">
        <v>0.49652777777777779</v>
      </c>
      <c r="F28" s="27">
        <v>0.50069444444444444</v>
      </c>
      <c r="G28" s="25">
        <v>0.50486111111111109</v>
      </c>
    </row>
    <row r="29" spans="1:7" ht="15.75" customHeight="1" x14ac:dyDescent="0.2">
      <c r="A29" s="19" t="s">
        <v>26</v>
      </c>
      <c r="B29" s="25">
        <v>0.48680555555555555</v>
      </c>
      <c r="C29" s="25">
        <v>0.48888888888888887</v>
      </c>
      <c r="D29" s="25">
        <v>0.49375000000000002</v>
      </c>
      <c r="E29" s="25">
        <v>0.49722222222222223</v>
      </c>
      <c r="F29" s="25">
        <v>0.50138888888888888</v>
      </c>
      <c r="G29" s="25">
        <v>0.50555555555555554</v>
      </c>
    </row>
    <row r="30" spans="1:7" ht="15.75" customHeight="1" x14ac:dyDescent="0.2">
      <c r="A30" s="19" t="s">
        <v>27</v>
      </c>
      <c r="B30" s="25"/>
      <c r="C30" s="25"/>
      <c r="D30" s="25"/>
      <c r="E30" s="25"/>
      <c r="F30" s="25"/>
      <c r="G30" s="25"/>
    </row>
    <row r="31" spans="1:7" ht="15.75" customHeight="1" x14ac:dyDescent="0.2">
      <c r="A31" s="19" t="s">
        <v>28</v>
      </c>
      <c r="B31" s="19">
        <v>100</v>
      </c>
      <c r="C31" s="19">
        <v>100</v>
      </c>
      <c r="D31" s="19">
        <v>100</v>
      </c>
      <c r="E31" s="19">
        <v>100</v>
      </c>
      <c r="F31" s="19">
        <v>100</v>
      </c>
      <c r="G31" s="19">
        <v>100</v>
      </c>
    </row>
    <row r="32" spans="1:7" ht="15.75" customHeight="1" x14ac:dyDescent="0.2">
      <c r="A32" s="19" t="s">
        <v>29</v>
      </c>
      <c r="B32" s="26">
        <v>1600000</v>
      </c>
      <c r="C32" s="26">
        <v>1600000</v>
      </c>
      <c r="D32" s="26">
        <v>1600000</v>
      </c>
      <c r="E32" s="26">
        <v>1600000</v>
      </c>
      <c r="F32" s="26">
        <v>1600000</v>
      </c>
      <c r="G32" s="26">
        <v>1600000</v>
      </c>
    </row>
    <row r="33" spans="1:7" ht="15.75" customHeight="1" x14ac:dyDescent="0.2">
      <c r="A33" s="19" t="s">
        <v>30</v>
      </c>
      <c r="B33" s="19">
        <v>100</v>
      </c>
      <c r="C33" s="19">
        <v>100</v>
      </c>
      <c r="D33" s="19">
        <v>70</v>
      </c>
      <c r="E33" s="19">
        <v>100</v>
      </c>
      <c r="F33" s="19">
        <v>100</v>
      </c>
      <c r="G33" s="19">
        <v>100</v>
      </c>
    </row>
    <row r="34" spans="1:7" ht="15.75" customHeight="1" x14ac:dyDescent="0.2">
      <c r="A34" s="19" t="s">
        <v>31</v>
      </c>
      <c r="B34" s="35">
        <f t="shared" ref="B34:G34" si="2">B32*B33/B31</f>
        <v>1600000</v>
      </c>
      <c r="C34" s="35">
        <f t="shared" si="2"/>
        <v>1600000</v>
      </c>
      <c r="D34" s="35">
        <f t="shared" si="2"/>
        <v>1120000</v>
      </c>
      <c r="E34" s="35">
        <f t="shared" si="2"/>
        <v>1600000</v>
      </c>
      <c r="F34" s="35">
        <f t="shared" si="2"/>
        <v>1600000</v>
      </c>
      <c r="G34" s="35">
        <f t="shared" si="2"/>
        <v>1600000</v>
      </c>
    </row>
    <row r="35" spans="1:7" ht="15.75" customHeight="1" x14ac:dyDescent="0.2"/>
    <row r="36" spans="1:7" ht="15.75" customHeight="1" x14ac:dyDescent="0.2">
      <c r="A36" s="19" t="s">
        <v>33</v>
      </c>
      <c r="B36" s="19">
        <v>100</v>
      </c>
      <c r="C36" s="19">
        <v>100</v>
      </c>
      <c r="D36" s="19">
        <v>100</v>
      </c>
      <c r="E36" s="19">
        <v>100</v>
      </c>
      <c r="F36" s="19">
        <v>100</v>
      </c>
      <c r="G36" s="19">
        <v>100</v>
      </c>
    </row>
    <row r="37" spans="1:7" ht="15.75" customHeight="1" x14ac:dyDescent="0.2">
      <c r="A37" s="19" t="s">
        <v>34</v>
      </c>
      <c r="B37" s="19">
        <v>1.1000000000000001</v>
      </c>
      <c r="C37" s="19">
        <v>1.1000000000000001</v>
      </c>
      <c r="D37" s="19">
        <v>1.1000000000000001</v>
      </c>
      <c r="E37" s="19">
        <v>1.1000000000000001</v>
      </c>
      <c r="F37" s="19">
        <v>1.1000000000000001</v>
      </c>
      <c r="G37" s="19">
        <v>1.1000000000000001</v>
      </c>
    </row>
    <row r="38" spans="1:7" ht="15.75" customHeight="1" x14ac:dyDescent="0.2">
      <c r="A38" s="19" t="s">
        <v>35</v>
      </c>
      <c r="B38" s="19">
        <f t="shared" ref="B38:G38" si="3">B37+B33/1000+B36/1000</f>
        <v>1.3000000000000003</v>
      </c>
      <c r="C38" s="19">
        <f t="shared" si="3"/>
        <v>1.3000000000000003</v>
      </c>
      <c r="D38" s="19">
        <f t="shared" si="3"/>
        <v>1.2700000000000002</v>
      </c>
      <c r="E38" s="19">
        <f t="shared" si="3"/>
        <v>1.3000000000000003</v>
      </c>
      <c r="F38" s="19">
        <f t="shared" si="3"/>
        <v>1.3000000000000003</v>
      </c>
      <c r="G38" s="19">
        <f t="shared" si="3"/>
        <v>1.3000000000000003</v>
      </c>
    </row>
    <row r="39" spans="1:7" ht="15.75" customHeight="1" x14ac:dyDescent="0.2">
      <c r="A39" s="19" t="s">
        <v>36</v>
      </c>
      <c r="B39" s="25"/>
      <c r="C39" s="25"/>
      <c r="D39" s="25"/>
      <c r="E39" s="25"/>
      <c r="F39" s="25"/>
      <c r="G39" s="25"/>
    </row>
    <row r="40" spans="1:7" ht="15.75" customHeight="1" x14ac:dyDescent="0.2">
      <c r="A40" s="19" t="s">
        <v>37</v>
      </c>
      <c r="B40" s="69"/>
      <c r="C40" s="68"/>
      <c r="D40" s="68"/>
      <c r="E40" s="68"/>
      <c r="F40" s="68"/>
      <c r="G40" s="68"/>
    </row>
    <row r="41" spans="1:7" ht="15.75" customHeight="1" x14ac:dyDescent="0.2">
      <c r="A41" s="19" t="s">
        <v>74</v>
      </c>
      <c r="B41" s="21">
        <v>55</v>
      </c>
      <c r="C41" s="20">
        <v>52</v>
      </c>
      <c r="D41" s="21">
        <v>34</v>
      </c>
      <c r="E41" s="21">
        <v>32</v>
      </c>
      <c r="F41" s="21">
        <v>27</v>
      </c>
      <c r="G41" s="21">
        <v>21</v>
      </c>
    </row>
    <row r="42" spans="1:7" ht="15.75" customHeight="1" x14ac:dyDescent="0.2">
      <c r="A42" s="19" t="s">
        <v>71</v>
      </c>
      <c r="B42" s="19">
        <v>2</v>
      </c>
      <c r="C42" s="54">
        <v>6</v>
      </c>
      <c r="D42" s="19">
        <v>1</v>
      </c>
      <c r="E42" s="19">
        <v>3</v>
      </c>
      <c r="F42" s="19">
        <v>0</v>
      </c>
      <c r="G42" s="19">
        <v>1</v>
      </c>
    </row>
    <row r="43" spans="1:7" ht="15.75" customHeight="1" x14ac:dyDescent="0.2">
      <c r="A43" s="19" t="s">
        <v>75</v>
      </c>
      <c r="B43" s="20">
        <v>55</v>
      </c>
      <c r="C43" s="21">
        <v>51</v>
      </c>
      <c r="D43" s="21">
        <v>32</v>
      </c>
      <c r="E43" s="21">
        <v>38</v>
      </c>
      <c r="F43" s="21">
        <v>26</v>
      </c>
      <c r="G43" s="21">
        <v>23</v>
      </c>
    </row>
    <row r="44" spans="1:7" ht="15.75" customHeight="1" x14ac:dyDescent="0.2">
      <c r="A44" s="19" t="s">
        <v>72</v>
      </c>
      <c r="B44" s="54">
        <v>2</v>
      </c>
      <c r="C44" s="54">
        <v>7</v>
      </c>
      <c r="D44" s="54">
        <v>2</v>
      </c>
      <c r="E44" s="54">
        <v>3</v>
      </c>
      <c r="F44" s="54">
        <v>1</v>
      </c>
      <c r="G44" s="54">
        <v>4</v>
      </c>
    </row>
    <row r="45" spans="1:7" ht="15.75" customHeight="1" x14ac:dyDescent="0.2">
      <c r="A45" s="19" t="s">
        <v>76</v>
      </c>
      <c r="B45" s="21">
        <v>60</v>
      </c>
      <c r="C45" s="21">
        <v>48</v>
      </c>
      <c r="D45" s="21">
        <v>44</v>
      </c>
      <c r="E45" s="21">
        <v>40</v>
      </c>
      <c r="F45" s="21">
        <v>28</v>
      </c>
      <c r="G45" s="21">
        <v>21</v>
      </c>
    </row>
    <row r="46" spans="1:7" ht="15.75" customHeight="1" x14ac:dyDescent="0.2">
      <c r="A46" s="19" t="s">
        <v>73</v>
      </c>
      <c r="B46" s="53">
        <v>4</v>
      </c>
      <c r="C46" s="53">
        <v>8</v>
      </c>
      <c r="D46" s="53">
        <v>2</v>
      </c>
      <c r="E46" s="53">
        <v>2</v>
      </c>
      <c r="F46" s="53">
        <v>1</v>
      </c>
      <c r="G46" s="53">
        <v>1</v>
      </c>
    </row>
    <row r="47" spans="1:7" ht="15.75" customHeight="1" x14ac:dyDescent="0.2">
      <c r="A47" s="19" t="s">
        <v>47</v>
      </c>
      <c r="B47" s="21">
        <f>AVERAGE(B41,B43,B45)*10000*2</f>
        <v>1133333.3333333333</v>
      </c>
      <c r="C47" s="21">
        <f t="shared" ref="C47:G47" si="4">AVERAGE(C41,C43,C45)*10000*2</f>
        <v>1006666.6666666667</v>
      </c>
      <c r="D47" s="21">
        <f t="shared" si="4"/>
        <v>733333.33333333326</v>
      </c>
      <c r="E47" s="21">
        <f t="shared" si="4"/>
        <v>733333.33333333326</v>
      </c>
      <c r="F47" s="21">
        <f t="shared" si="4"/>
        <v>540000</v>
      </c>
      <c r="G47" s="21">
        <f t="shared" si="4"/>
        <v>433333.33333333337</v>
      </c>
    </row>
    <row r="48" spans="1:7" ht="15.75" customHeight="1" x14ac:dyDescent="0.2">
      <c r="A48" s="19" t="s">
        <v>48</v>
      </c>
      <c r="B48" s="55">
        <f>1-AVERAGE(B42/B41,B44/B43,B46/B45)</f>
        <v>0.95353535353535357</v>
      </c>
      <c r="C48" s="55">
        <f t="shared" ref="C48:G48" si="5">1-AVERAGE(C42/C41,C44/C43,C46/C45)</f>
        <v>0.86023127199597793</v>
      </c>
      <c r="D48" s="55">
        <f t="shared" si="5"/>
        <v>0.95421122994652408</v>
      </c>
      <c r="E48" s="55">
        <f t="shared" si="5"/>
        <v>0.9257675438596491</v>
      </c>
      <c r="F48" s="55">
        <f t="shared" si="5"/>
        <v>0.97527472527472525</v>
      </c>
      <c r="G48" s="55">
        <f t="shared" si="5"/>
        <v>0.9102829537612146</v>
      </c>
    </row>
    <row r="49" spans="1:7" ht="15.75" customHeight="1" x14ac:dyDescent="0.2">
      <c r="A49" s="19" t="s">
        <v>32</v>
      </c>
      <c r="B49" s="20">
        <f t="shared" ref="B49:G49" si="6">B47*B38</f>
        <v>1473333.3333333335</v>
      </c>
      <c r="C49" s="20">
        <f t="shared" si="6"/>
        <v>1308666.666666667</v>
      </c>
      <c r="D49" s="20">
        <f t="shared" si="6"/>
        <v>931333.33333333337</v>
      </c>
      <c r="E49" s="20">
        <f t="shared" si="6"/>
        <v>953333.33333333337</v>
      </c>
      <c r="F49" s="20">
        <f t="shared" si="6"/>
        <v>702000.00000000012</v>
      </c>
      <c r="G49" s="20">
        <f t="shared" si="6"/>
        <v>563333.33333333349</v>
      </c>
    </row>
    <row r="50" spans="1:7" ht="15.75" customHeight="1" x14ac:dyDescent="0.2">
      <c r="A50" s="19"/>
      <c r="B50" s="18">
        <f t="shared" ref="B50:G50" si="7">B49/B34</f>
        <v>0.92083333333333339</v>
      </c>
      <c r="C50" s="18">
        <f t="shared" si="7"/>
        <v>0.81791666666666685</v>
      </c>
      <c r="D50" s="18">
        <f t="shared" si="7"/>
        <v>0.83154761904761909</v>
      </c>
      <c r="E50" s="18">
        <f>E49/E34</f>
        <v>0.59583333333333333</v>
      </c>
      <c r="F50" s="17">
        <f t="shared" si="7"/>
        <v>0.43875000000000008</v>
      </c>
      <c r="G50" s="17">
        <f t="shared" si="7"/>
        <v>0.35208333333333341</v>
      </c>
    </row>
    <row r="51" spans="1:7" ht="15.75" customHeight="1" x14ac:dyDescent="0.2">
      <c r="B51" s="8">
        <f>B41*B$38/B$34</f>
        <v>4.4687500000000009E-5</v>
      </c>
      <c r="C51" s="8">
        <f t="shared" ref="C51:G51" si="8">C41*C$38/C$34</f>
        <v>4.2250000000000004E-5</v>
      </c>
      <c r="D51" s="8">
        <f t="shared" si="8"/>
        <v>3.8553571428571434E-5</v>
      </c>
      <c r="E51" s="8">
        <f t="shared" si="8"/>
        <v>2.6000000000000005E-5</v>
      </c>
      <c r="F51" s="8">
        <f t="shared" si="8"/>
        <v>2.1937500000000005E-5</v>
      </c>
      <c r="G51" s="8">
        <f t="shared" si="8"/>
        <v>1.7062500000000001E-5</v>
      </c>
    </row>
    <row r="52" spans="1:7" ht="15.75" customHeight="1" x14ac:dyDescent="0.2">
      <c r="B52" s="8">
        <f>B43*B$38/B$34</f>
        <v>4.4687500000000009E-5</v>
      </c>
      <c r="C52" s="8">
        <f t="shared" ref="C52:G52" si="9">C43*C$38/C$34</f>
        <v>4.1437500000000004E-5</v>
      </c>
      <c r="D52" s="8">
        <f t="shared" si="9"/>
        <v>3.6285714285714292E-5</v>
      </c>
      <c r="E52" s="8">
        <f t="shared" si="9"/>
        <v>3.0875000000000005E-5</v>
      </c>
      <c r="F52" s="8">
        <f t="shared" si="9"/>
        <v>2.1125000000000002E-5</v>
      </c>
      <c r="G52" s="8">
        <f t="shared" si="9"/>
        <v>1.8687500000000004E-5</v>
      </c>
    </row>
    <row r="53" spans="1:7" ht="15.75" customHeight="1" x14ac:dyDescent="0.2">
      <c r="B53" s="8">
        <f>B45*B$38/B$34</f>
        <v>4.8750000000000006E-5</v>
      </c>
      <c r="C53" s="8">
        <f t="shared" ref="C53:G53" si="10">C45*C$38/C$34</f>
        <v>3.9000000000000006E-5</v>
      </c>
      <c r="D53" s="8">
        <f t="shared" si="10"/>
        <v>4.9892857142857148E-5</v>
      </c>
      <c r="E53" s="8">
        <f t="shared" si="10"/>
        <v>3.2500000000000011E-5</v>
      </c>
      <c r="F53" s="8">
        <f t="shared" si="10"/>
        <v>2.2750000000000004E-5</v>
      </c>
      <c r="G53" s="8">
        <f t="shared" si="10"/>
        <v>1.7062500000000001E-5</v>
      </c>
    </row>
    <row r="54" spans="1:7" ht="15.75" customHeight="1" x14ac:dyDescent="0.2"/>
    <row r="55" spans="1:7" ht="15.75" customHeight="1" x14ac:dyDescent="0.2"/>
    <row r="56" spans="1:7" ht="15.75" customHeight="1" x14ac:dyDescent="0.2">
      <c r="B56" s="56">
        <f>B51*10000*2</f>
        <v>0.89375000000000016</v>
      </c>
      <c r="C56" s="56">
        <f t="shared" ref="C56:G56" si="11">C51*10000*2</f>
        <v>0.84500000000000008</v>
      </c>
      <c r="D56" s="56">
        <f t="shared" si="11"/>
        <v>0.77107142857142874</v>
      </c>
      <c r="E56" s="56">
        <f t="shared" si="11"/>
        <v>0.52000000000000013</v>
      </c>
      <c r="F56" s="56">
        <f t="shared" si="11"/>
        <v>0.43875000000000008</v>
      </c>
      <c r="G56" s="56">
        <f t="shared" si="11"/>
        <v>0.34125000000000005</v>
      </c>
    </row>
    <row r="57" spans="1:7" ht="15.75" customHeight="1" x14ac:dyDescent="0.2">
      <c r="B57" s="56">
        <f t="shared" ref="B57:G57" si="12">B52*10000*2</f>
        <v>0.89375000000000016</v>
      </c>
      <c r="C57" s="56">
        <f t="shared" si="12"/>
        <v>0.8287500000000001</v>
      </c>
      <c r="D57" s="56">
        <f t="shared" si="12"/>
        <v>0.72571428571428587</v>
      </c>
      <c r="E57" s="56">
        <f t="shared" si="12"/>
        <v>0.61750000000000005</v>
      </c>
      <c r="F57" s="56">
        <f t="shared" si="12"/>
        <v>0.42250000000000004</v>
      </c>
      <c r="G57" s="56">
        <f t="shared" si="12"/>
        <v>0.37375000000000008</v>
      </c>
    </row>
    <row r="58" spans="1:7" ht="15.75" customHeight="1" x14ac:dyDescent="0.2">
      <c r="B58" s="56">
        <f t="shared" ref="B58:G58" si="13">B53*10000*2</f>
        <v>0.97500000000000009</v>
      </c>
      <c r="C58" s="56">
        <f t="shared" si="13"/>
        <v>0.78000000000000014</v>
      </c>
      <c r="D58" s="56">
        <f t="shared" si="13"/>
        <v>0.997857142857143</v>
      </c>
      <c r="E58" s="56">
        <f t="shared" si="13"/>
        <v>0.65000000000000024</v>
      </c>
      <c r="F58" s="56">
        <f t="shared" si="13"/>
        <v>0.45500000000000007</v>
      </c>
      <c r="G58" s="56">
        <f t="shared" si="13"/>
        <v>0.34125000000000005</v>
      </c>
    </row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B40:G40"/>
    <mergeCell ref="A1:B1"/>
    <mergeCell ref="A13:D13"/>
    <mergeCell ref="A22:A23"/>
    <mergeCell ref="B22:C22"/>
    <mergeCell ref="D22:E22"/>
    <mergeCell ref="F22:G2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35DE-41C7-3344-8D5F-B10448F90529}">
  <dimension ref="A1:G1001"/>
  <sheetViews>
    <sheetView zoomScale="158" workbookViewId="0">
      <selection activeCell="C32" sqref="C32"/>
    </sheetView>
  </sheetViews>
  <sheetFormatPr baseColWidth="10" defaultColWidth="11.1640625" defaultRowHeight="15" customHeight="1" x14ac:dyDescent="0.2"/>
  <cols>
    <col min="1" max="1" width="38" style="16" customWidth="1"/>
    <col min="2" max="2" width="15.1640625" style="16" customWidth="1"/>
    <col min="3" max="3" width="17.1640625" style="16" customWidth="1"/>
    <col min="4" max="4" width="10.5" style="16" customWidth="1"/>
    <col min="5" max="5" width="13.5" style="16" customWidth="1"/>
    <col min="6" max="26" width="10.5" style="16" customWidth="1"/>
    <col min="27" max="16384" width="11.1640625" style="16"/>
  </cols>
  <sheetData>
    <row r="1" spans="1:6" ht="15.75" customHeight="1" x14ac:dyDescent="0.2">
      <c r="A1" s="69" t="s">
        <v>0</v>
      </c>
      <c r="B1" s="68"/>
    </row>
    <row r="2" spans="1:6" ht="15.75" customHeight="1" x14ac:dyDescent="0.2">
      <c r="A2" s="34" t="s">
        <v>1</v>
      </c>
      <c r="B2" s="33"/>
      <c r="C2" s="32"/>
    </row>
    <row r="3" spans="1:6" ht="15.75" customHeight="1" x14ac:dyDescent="0.2">
      <c r="A3" s="16" t="s">
        <v>2</v>
      </c>
      <c r="B3" s="31" t="s">
        <v>67</v>
      </c>
    </row>
    <row r="4" spans="1:6" ht="15.75" customHeight="1" x14ac:dyDescent="0.2">
      <c r="A4" s="16" t="s">
        <v>3</v>
      </c>
      <c r="B4" s="30"/>
    </row>
    <row r="5" spans="1:6" ht="15.75" customHeight="1" x14ac:dyDescent="0.2">
      <c r="A5" s="16" t="s">
        <v>4</v>
      </c>
      <c r="B5" s="30"/>
    </row>
    <row r="6" spans="1:6" ht="15.75" customHeight="1" x14ac:dyDescent="0.2">
      <c r="A6" s="16" t="s">
        <v>5</v>
      </c>
      <c r="B6" s="30"/>
    </row>
    <row r="7" spans="1:6" ht="15.75" customHeight="1" x14ac:dyDescent="0.2">
      <c r="A7" s="16" t="s">
        <v>6</v>
      </c>
      <c r="B7" s="29">
        <v>10</v>
      </c>
    </row>
    <row r="8" spans="1:6" ht="15.75" customHeight="1" x14ac:dyDescent="0.2">
      <c r="A8" s="16" t="s">
        <v>7</v>
      </c>
      <c r="B8" s="30"/>
    </row>
    <row r="9" spans="1:6" ht="15.75" customHeight="1" x14ac:dyDescent="0.2">
      <c r="A9" s="16" t="s">
        <v>40</v>
      </c>
      <c r="B9" s="30"/>
    </row>
    <row r="10" spans="1:6" ht="15.75" customHeight="1" x14ac:dyDescent="0.2">
      <c r="A10" s="16" t="s">
        <v>8</v>
      </c>
      <c r="B10" s="29">
        <v>10</v>
      </c>
      <c r="C10" s="16" t="s">
        <v>9</v>
      </c>
      <c r="D10" s="28"/>
    </row>
    <row r="11" spans="1:6" ht="15.75" customHeight="1" x14ac:dyDescent="0.2">
      <c r="A11" s="16" t="s">
        <v>39</v>
      </c>
      <c r="B11" s="28"/>
      <c r="C11" s="16" t="s">
        <v>10</v>
      </c>
      <c r="D11" s="21">
        <f>1650000*B10/C19</f>
        <v>1.6751269035532994</v>
      </c>
      <c r="E11" s="16" t="s">
        <v>11</v>
      </c>
      <c r="F11" s="52" t="s">
        <v>88</v>
      </c>
    </row>
    <row r="12" spans="1:6" ht="15.75" customHeight="1" x14ac:dyDescent="0.2"/>
    <row r="13" spans="1:6" ht="15.75" customHeight="1" x14ac:dyDescent="0.2">
      <c r="A13" s="69" t="s">
        <v>12</v>
      </c>
      <c r="B13" s="68"/>
      <c r="C13" s="68"/>
      <c r="D13" s="68"/>
    </row>
    <row r="14" spans="1:6" ht="15.75" customHeight="1" x14ac:dyDescent="0.2">
      <c r="B14" s="16" t="s">
        <v>13</v>
      </c>
      <c r="C14" s="16" t="s">
        <v>14</v>
      </c>
      <c r="D14" s="52" t="s">
        <v>70</v>
      </c>
      <c r="E14" s="52" t="s">
        <v>68</v>
      </c>
    </row>
    <row r="15" spans="1:6" ht="15.75" customHeight="1" x14ac:dyDescent="0.2">
      <c r="A15" s="16" t="s">
        <v>16</v>
      </c>
      <c r="B15" s="21">
        <f>E15*2*10000</f>
        <v>1060000</v>
      </c>
      <c r="C15" s="21">
        <f>(E15-D15)*10000*2</f>
        <v>1040000</v>
      </c>
      <c r="D15" s="54">
        <v>1</v>
      </c>
      <c r="E15" s="16">
        <v>53</v>
      </c>
    </row>
    <row r="16" spans="1:6" ht="15.75" customHeight="1" x14ac:dyDescent="0.2">
      <c r="A16" s="16" t="s">
        <v>17</v>
      </c>
      <c r="B16" s="21">
        <f t="shared" ref="B16:B18" si="0">E16*2*10000</f>
        <v>920000</v>
      </c>
      <c r="C16" s="21">
        <f t="shared" ref="C16:C18" si="1">(E16-D16)*10000*2</f>
        <v>900000</v>
      </c>
      <c r="D16" s="54">
        <v>1</v>
      </c>
      <c r="E16" s="16">
        <v>46</v>
      </c>
    </row>
    <row r="17" spans="1:7" ht="15.75" customHeight="1" x14ac:dyDescent="0.2">
      <c r="A17" s="16" t="s">
        <v>18</v>
      </c>
      <c r="B17" s="21">
        <f t="shared" si="0"/>
        <v>1020000</v>
      </c>
      <c r="C17" s="21">
        <f t="shared" si="1"/>
        <v>1000000</v>
      </c>
      <c r="D17" s="54">
        <v>1</v>
      </c>
      <c r="E17" s="16">
        <v>51</v>
      </c>
    </row>
    <row r="18" spans="1:7" ht="15.75" customHeight="1" x14ac:dyDescent="0.2">
      <c r="A18" s="52" t="s">
        <v>69</v>
      </c>
      <c r="B18" s="21">
        <f t="shared" si="0"/>
        <v>1020000</v>
      </c>
      <c r="C18" s="21">
        <f t="shared" si="1"/>
        <v>1000000</v>
      </c>
      <c r="D18" s="54">
        <v>1</v>
      </c>
      <c r="E18" s="16">
        <v>51</v>
      </c>
    </row>
    <row r="19" spans="1:7" ht="15.75" customHeight="1" x14ac:dyDescent="0.2">
      <c r="B19" s="16" t="s">
        <v>19</v>
      </c>
      <c r="C19" s="21">
        <f>AVERAGE(C15:C18)*B7</f>
        <v>9850000</v>
      </c>
      <c r="D19" s="23"/>
      <c r="F19" s="21"/>
    </row>
    <row r="20" spans="1:7" ht="15.75" customHeight="1" x14ac:dyDescent="0.2">
      <c r="C20" s="21"/>
      <c r="D20" s="23"/>
    </row>
    <row r="21" spans="1:7" ht="15.75" customHeight="1" x14ac:dyDescent="0.2"/>
    <row r="22" spans="1:7" ht="15.75" customHeight="1" x14ac:dyDescent="0.2">
      <c r="A22" s="70" t="s">
        <v>20</v>
      </c>
      <c r="B22" s="67" t="s">
        <v>50</v>
      </c>
      <c r="C22" s="68"/>
      <c r="D22" s="67" t="s">
        <v>49</v>
      </c>
      <c r="E22" s="68"/>
      <c r="F22" s="67" t="s">
        <v>51</v>
      </c>
      <c r="G22" s="68"/>
    </row>
    <row r="23" spans="1:7" ht="15.75" customHeight="1" x14ac:dyDescent="0.2">
      <c r="A23" s="68"/>
      <c r="B23" s="19">
        <v>1</v>
      </c>
      <c r="C23" s="19">
        <v>2</v>
      </c>
      <c r="D23" s="19">
        <v>3</v>
      </c>
      <c r="E23" s="19">
        <v>4</v>
      </c>
      <c r="F23" s="19">
        <v>5</v>
      </c>
      <c r="G23" s="19">
        <v>6</v>
      </c>
    </row>
    <row r="24" spans="1:7" ht="15.75" customHeight="1" x14ac:dyDescent="0.2">
      <c r="A24" s="19" t="s">
        <v>21</v>
      </c>
      <c r="B24" s="25"/>
      <c r="C24" s="25"/>
      <c r="D24" s="25"/>
      <c r="E24" s="25"/>
      <c r="F24" s="25"/>
      <c r="G24" s="25"/>
    </row>
    <row r="25" spans="1:7" ht="15.75" customHeight="1" x14ac:dyDescent="0.2">
      <c r="A25" s="19" t="s">
        <v>22</v>
      </c>
      <c r="B25" s="25"/>
      <c r="C25" s="25"/>
      <c r="D25" s="25"/>
      <c r="E25" s="25"/>
      <c r="F25" s="25"/>
      <c r="G25" s="25"/>
    </row>
    <row r="26" spans="1:7" ht="15.75" customHeight="1" x14ac:dyDescent="0.2">
      <c r="A26" s="19" t="s">
        <v>23</v>
      </c>
      <c r="B26" s="25"/>
      <c r="C26" s="25"/>
      <c r="D26" s="25"/>
      <c r="E26" s="25"/>
      <c r="F26" s="25"/>
      <c r="G26" s="25"/>
    </row>
    <row r="27" spans="1:7" ht="15.75" customHeight="1" x14ac:dyDescent="0.2">
      <c r="A27" s="19" t="s">
        <v>24</v>
      </c>
      <c r="B27" s="25" t="s">
        <v>77</v>
      </c>
      <c r="C27" s="25" t="s">
        <v>78</v>
      </c>
      <c r="D27" s="25" t="s">
        <v>84</v>
      </c>
      <c r="E27" s="25" t="s">
        <v>85</v>
      </c>
      <c r="F27" s="27" t="s">
        <v>86</v>
      </c>
      <c r="G27" s="25" t="s">
        <v>87</v>
      </c>
    </row>
    <row r="28" spans="1:7" ht="15.75" customHeight="1" x14ac:dyDescent="0.2">
      <c r="A28" s="19" t="s">
        <v>25</v>
      </c>
      <c r="B28" s="25"/>
      <c r="C28" s="25"/>
      <c r="D28" s="25"/>
      <c r="E28" s="25"/>
      <c r="F28" s="27"/>
      <c r="G28" s="25"/>
    </row>
    <row r="29" spans="1:7" ht="15.75" customHeight="1" x14ac:dyDescent="0.2">
      <c r="A29" s="19" t="s">
        <v>26</v>
      </c>
      <c r="B29" s="25"/>
      <c r="C29" s="25"/>
      <c r="D29" s="25"/>
      <c r="E29" s="25"/>
      <c r="F29" s="25"/>
      <c r="G29" s="25"/>
    </row>
    <row r="30" spans="1:7" ht="15.75" customHeight="1" x14ac:dyDescent="0.2">
      <c r="A30" s="19" t="s">
        <v>27</v>
      </c>
      <c r="B30" s="25"/>
      <c r="C30" s="25"/>
      <c r="D30" s="25"/>
      <c r="E30" s="25"/>
      <c r="F30" s="25"/>
      <c r="G30" s="25"/>
    </row>
    <row r="31" spans="1:7" ht="15.75" customHeight="1" x14ac:dyDescent="0.2">
      <c r="A31" s="19" t="s">
        <v>28</v>
      </c>
      <c r="B31" s="19">
        <v>100</v>
      </c>
      <c r="C31" s="19">
        <v>100</v>
      </c>
      <c r="D31" s="19">
        <v>100</v>
      </c>
      <c r="E31" s="19">
        <v>100</v>
      </c>
      <c r="F31" s="19">
        <v>100</v>
      </c>
      <c r="G31" s="19">
        <v>100</v>
      </c>
    </row>
    <row r="32" spans="1:7" ht="15.75" customHeight="1" x14ac:dyDescent="0.2">
      <c r="A32" s="19" t="s">
        <v>29</v>
      </c>
      <c r="B32" s="26">
        <v>1600000</v>
      </c>
      <c r="C32" s="26">
        <v>1600000</v>
      </c>
      <c r="D32" s="26">
        <v>1600000</v>
      </c>
      <c r="E32" s="26">
        <v>1600000</v>
      </c>
      <c r="F32" s="26">
        <v>1600000</v>
      </c>
      <c r="G32" s="26">
        <v>1600000</v>
      </c>
    </row>
    <row r="33" spans="1:7" ht="15.75" customHeight="1" x14ac:dyDescent="0.2">
      <c r="A33" s="19" t="s">
        <v>30</v>
      </c>
      <c r="B33" s="19">
        <v>100</v>
      </c>
      <c r="C33" s="19">
        <v>100</v>
      </c>
      <c r="D33" s="19">
        <v>100</v>
      </c>
      <c r="E33" s="19">
        <v>100</v>
      </c>
      <c r="F33" s="19">
        <v>100</v>
      </c>
      <c r="G33" s="19">
        <v>100</v>
      </c>
    </row>
    <row r="34" spans="1:7" ht="15.75" customHeight="1" x14ac:dyDescent="0.2">
      <c r="A34" s="19" t="s">
        <v>31</v>
      </c>
      <c r="B34" s="35">
        <f t="shared" ref="B34:G34" si="2">B32*B33/B31</f>
        <v>1600000</v>
      </c>
      <c r="C34" s="35">
        <f t="shared" si="2"/>
        <v>1600000</v>
      </c>
      <c r="D34" s="35">
        <f t="shared" si="2"/>
        <v>1600000</v>
      </c>
      <c r="E34" s="35">
        <f t="shared" si="2"/>
        <v>1600000</v>
      </c>
      <c r="F34" s="35">
        <f t="shared" si="2"/>
        <v>1600000</v>
      </c>
      <c r="G34" s="35">
        <f t="shared" si="2"/>
        <v>1600000</v>
      </c>
    </row>
    <row r="35" spans="1:7" ht="15.75" customHeight="1" x14ac:dyDescent="0.2"/>
    <row r="36" spans="1:7" ht="15.75" customHeight="1" x14ac:dyDescent="0.2">
      <c r="A36" s="19" t="s">
        <v>33</v>
      </c>
      <c r="B36" s="19">
        <v>200</v>
      </c>
      <c r="C36" s="19">
        <v>200</v>
      </c>
      <c r="D36" s="19">
        <v>200</v>
      </c>
      <c r="E36" s="19">
        <v>200</v>
      </c>
      <c r="F36" s="19">
        <v>200</v>
      </c>
      <c r="G36" s="19">
        <v>200</v>
      </c>
    </row>
    <row r="37" spans="1:7" ht="15.75" customHeight="1" x14ac:dyDescent="0.2">
      <c r="A37" s="19" t="s">
        <v>34</v>
      </c>
      <c r="B37" s="19">
        <v>1</v>
      </c>
      <c r="C37" s="19">
        <v>1</v>
      </c>
      <c r="D37" s="19">
        <v>1</v>
      </c>
      <c r="E37" s="19">
        <v>1</v>
      </c>
      <c r="F37" s="19">
        <v>1</v>
      </c>
      <c r="G37" s="19">
        <v>1</v>
      </c>
    </row>
    <row r="38" spans="1:7" ht="15.75" customHeight="1" x14ac:dyDescent="0.2">
      <c r="A38" s="19" t="s">
        <v>35</v>
      </c>
      <c r="B38" s="19">
        <f t="shared" ref="B38:G38" si="3">B37+B33/1000+B36/1000</f>
        <v>1.3</v>
      </c>
      <c r="C38" s="19">
        <f t="shared" si="3"/>
        <v>1.3</v>
      </c>
      <c r="D38" s="19">
        <f t="shared" si="3"/>
        <v>1.3</v>
      </c>
      <c r="E38" s="19">
        <f t="shared" si="3"/>
        <v>1.3</v>
      </c>
      <c r="F38" s="19">
        <f t="shared" si="3"/>
        <v>1.3</v>
      </c>
      <c r="G38" s="19">
        <f t="shared" si="3"/>
        <v>1.3</v>
      </c>
    </row>
    <row r="39" spans="1:7" ht="15.75" customHeight="1" x14ac:dyDescent="0.2">
      <c r="A39" s="19" t="s">
        <v>89</v>
      </c>
      <c r="B39" s="25"/>
      <c r="C39" s="25"/>
      <c r="D39" s="25"/>
      <c r="E39" s="25"/>
      <c r="F39" s="25"/>
      <c r="G39" s="25"/>
    </row>
    <row r="40" spans="1:7" ht="15.75" customHeight="1" x14ac:dyDescent="0.2">
      <c r="A40" s="19" t="s">
        <v>37</v>
      </c>
      <c r="B40" s="69"/>
      <c r="C40" s="68"/>
      <c r="D40" s="68"/>
      <c r="E40" s="68"/>
      <c r="F40" s="68"/>
      <c r="G40" s="68"/>
    </row>
    <row r="41" spans="1:7" ht="15.75" customHeight="1" x14ac:dyDescent="0.2">
      <c r="A41" s="19" t="s">
        <v>74</v>
      </c>
      <c r="B41" s="21">
        <v>32</v>
      </c>
      <c r="C41" s="20">
        <v>34</v>
      </c>
      <c r="D41" s="21">
        <v>36</v>
      </c>
      <c r="E41" s="21">
        <v>30</v>
      </c>
      <c r="F41" s="21">
        <v>27</v>
      </c>
      <c r="G41" s="21">
        <v>42</v>
      </c>
    </row>
    <row r="42" spans="1:7" ht="15.75" customHeight="1" x14ac:dyDescent="0.2">
      <c r="A42" s="19" t="s">
        <v>71</v>
      </c>
      <c r="B42" s="19">
        <v>13</v>
      </c>
      <c r="C42" s="54">
        <v>15</v>
      </c>
      <c r="D42" s="19">
        <v>9</v>
      </c>
      <c r="E42" s="19">
        <v>5</v>
      </c>
      <c r="F42" s="19">
        <v>3</v>
      </c>
      <c r="G42" s="19">
        <v>7</v>
      </c>
    </row>
    <row r="43" spans="1:7" ht="15.75" customHeight="1" x14ac:dyDescent="0.2">
      <c r="A43" s="19" t="s">
        <v>75</v>
      </c>
      <c r="B43" s="20">
        <v>20</v>
      </c>
      <c r="C43" s="21">
        <v>24</v>
      </c>
      <c r="D43" s="21">
        <v>40</v>
      </c>
      <c r="E43" s="21">
        <v>40</v>
      </c>
      <c r="F43" s="21">
        <v>34</v>
      </c>
      <c r="G43" s="21">
        <v>50</v>
      </c>
    </row>
    <row r="44" spans="1:7" ht="15.75" customHeight="1" x14ac:dyDescent="0.2">
      <c r="A44" s="19" t="s">
        <v>72</v>
      </c>
      <c r="B44" s="54">
        <v>15</v>
      </c>
      <c r="C44" s="54">
        <v>13</v>
      </c>
      <c r="D44" s="54">
        <v>6</v>
      </c>
      <c r="E44" s="54">
        <v>4</v>
      </c>
      <c r="F44" s="54">
        <v>4</v>
      </c>
      <c r="G44" s="54">
        <v>5</v>
      </c>
    </row>
    <row r="45" spans="1:7" ht="15.75" customHeight="1" x14ac:dyDescent="0.2">
      <c r="A45" s="19" t="s">
        <v>76</v>
      </c>
      <c r="B45" s="21">
        <v>30</v>
      </c>
      <c r="C45" s="21">
        <v>25</v>
      </c>
      <c r="D45" s="21">
        <v>41</v>
      </c>
      <c r="E45" s="21">
        <v>36</v>
      </c>
      <c r="F45" s="21">
        <v>30</v>
      </c>
      <c r="G45" s="21">
        <v>49</v>
      </c>
    </row>
    <row r="46" spans="1:7" ht="15.75" customHeight="1" x14ac:dyDescent="0.2">
      <c r="A46" s="19" t="s">
        <v>73</v>
      </c>
      <c r="B46" s="53">
        <v>18</v>
      </c>
      <c r="C46" s="53">
        <v>10</v>
      </c>
      <c r="D46" s="53">
        <v>5</v>
      </c>
      <c r="E46" s="53">
        <v>7</v>
      </c>
      <c r="F46" s="53">
        <v>6</v>
      </c>
      <c r="G46" s="53">
        <v>5</v>
      </c>
    </row>
    <row r="47" spans="1:7" ht="15.75" customHeight="1" x14ac:dyDescent="0.2">
      <c r="A47" s="19" t="s">
        <v>47</v>
      </c>
      <c r="B47" s="21">
        <f>AVERAGE(B41,B43,B45)*10000*2</f>
        <v>546666.66666666663</v>
      </c>
      <c r="C47" s="21">
        <f t="shared" ref="C47:G47" si="4">AVERAGE(C41,C43,C45)*10000*2</f>
        <v>553333.33333333337</v>
      </c>
      <c r="D47" s="21">
        <f t="shared" si="4"/>
        <v>780000</v>
      </c>
      <c r="E47" s="21">
        <f t="shared" si="4"/>
        <v>706666.66666666674</v>
      </c>
      <c r="F47" s="21">
        <f t="shared" si="4"/>
        <v>606666.66666666663</v>
      </c>
      <c r="G47" s="21">
        <f t="shared" si="4"/>
        <v>940000</v>
      </c>
    </row>
    <row r="48" spans="1:7" ht="15.75" customHeight="1" x14ac:dyDescent="0.2">
      <c r="A48" s="19" t="s">
        <v>48</v>
      </c>
      <c r="B48" s="55">
        <f>1-AVERAGE(B42/B41,B44/B43,B46/B45)</f>
        <v>0.4145833333333333</v>
      </c>
      <c r="C48" s="55">
        <f t="shared" ref="C48:G48" si="5">1-AVERAGE(C42/C41,C44/C43,C46/C45)</f>
        <v>0.53905228758169943</v>
      </c>
      <c r="D48" s="55">
        <f t="shared" si="5"/>
        <v>0.82601626016260166</v>
      </c>
      <c r="E48" s="55">
        <f t="shared" si="5"/>
        <v>0.84629629629629632</v>
      </c>
      <c r="F48" s="55">
        <f t="shared" si="5"/>
        <v>0.85708061002178648</v>
      </c>
      <c r="G48" s="55">
        <f t="shared" si="5"/>
        <v>0.8770975056689343</v>
      </c>
    </row>
    <row r="49" spans="1:7" ht="15.75" customHeight="1" x14ac:dyDescent="0.2">
      <c r="A49" s="19" t="s">
        <v>32</v>
      </c>
      <c r="B49" s="20">
        <f t="shared" ref="B49:G49" si="6">B47*B38</f>
        <v>710666.66666666663</v>
      </c>
      <c r="C49" s="20">
        <f t="shared" si="6"/>
        <v>719333.33333333337</v>
      </c>
      <c r="D49" s="20">
        <f t="shared" si="6"/>
        <v>1014000</v>
      </c>
      <c r="E49" s="20">
        <f t="shared" si="6"/>
        <v>918666.66666666674</v>
      </c>
      <c r="F49" s="20">
        <f t="shared" si="6"/>
        <v>788666.66666666663</v>
      </c>
      <c r="G49" s="20">
        <f t="shared" si="6"/>
        <v>1222000</v>
      </c>
    </row>
    <row r="50" spans="1:7" ht="15.75" customHeight="1" x14ac:dyDescent="0.2">
      <c r="A50" s="19"/>
      <c r="B50" s="18">
        <f t="shared" ref="B50:G50" si="7">B49/B34</f>
        <v>0.44416666666666665</v>
      </c>
      <c r="C50" s="18">
        <f t="shared" si="7"/>
        <v>0.44958333333333333</v>
      </c>
      <c r="D50" s="18">
        <f t="shared" si="7"/>
        <v>0.63375000000000004</v>
      </c>
      <c r="E50" s="18">
        <f>E49/E34</f>
        <v>0.57416666666666671</v>
      </c>
      <c r="F50" s="17">
        <f t="shared" si="7"/>
        <v>0.49291666666666667</v>
      </c>
      <c r="G50" s="17">
        <f t="shared" si="7"/>
        <v>0.76375000000000004</v>
      </c>
    </row>
    <row r="51" spans="1:7" ht="15.75" customHeight="1" x14ac:dyDescent="0.2">
      <c r="B51" s="8">
        <f>B41*B$38/B$34</f>
        <v>2.6000000000000002E-5</v>
      </c>
      <c r="C51" s="8">
        <f t="shared" ref="C51:G51" si="8">C41*C$38/C$34</f>
        <v>2.7625000000000001E-5</v>
      </c>
      <c r="D51" s="8">
        <f t="shared" si="8"/>
        <v>2.9250000000000003E-5</v>
      </c>
      <c r="E51" s="8">
        <f t="shared" si="8"/>
        <v>2.4375E-5</v>
      </c>
      <c r="F51" s="8">
        <f t="shared" si="8"/>
        <v>2.1937500000000001E-5</v>
      </c>
      <c r="G51" s="8">
        <f t="shared" si="8"/>
        <v>3.4125000000000003E-5</v>
      </c>
    </row>
    <row r="52" spans="1:7" ht="15.75" customHeight="1" x14ac:dyDescent="0.2">
      <c r="B52" s="8">
        <f>B43*B$38/B$34</f>
        <v>1.6249999999999999E-5</v>
      </c>
      <c r="C52" s="8">
        <f t="shared" ref="C52:G52" si="9">C43*C$38/C$34</f>
        <v>1.9500000000000003E-5</v>
      </c>
      <c r="D52" s="8">
        <f t="shared" si="9"/>
        <v>3.2499999999999997E-5</v>
      </c>
      <c r="E52" s="8">
        <f t="shared" si="9"/>
        <v>3.2499999999999997E-5</v>
      </c>
      <c r="F52" s="8">
        <f t="shared" si="9"/>
        <v>2.7625000000000001E-5</v>
      </c>
      <c r="G52" s="8">
        <f t="shared" si="9"/>
        <v>4.0624999999999998E-5</v>
      </c>
    </row>
    <row r="53" spans="1:7" ht="15.75" customHeight="1" x14ac:dyDescent="0.2">
      <c r="B53" s="8">
        <f>B45*B$38/B$34</f>
        <v>2.4375E-5</v>
      </c>
      <c r="C53" s="8">
        <f t="shared" ref="C53:G53" si="10">C45*C$38/C$34</f>
        <v>2.0312499999999999E-5</v>
      </c>
      <c r="D53" s="8">
        <f t="shared" si="10"/>
        <v>3.3312500000000003E-5</v>
      </c>
      <c r="E53" s="8">
        <f t="shared" si="10"/>
        <v>2.9250000000000003E-5</v>
      </c>
      <c r="F53" s="8">
        <f t="shared" si="10"/>
        <v>2.4375E-5</v>
      </c>
      <c r="G53" s="8">
        <f t="shared" si="10"/>
        <v>3.9812499999999999E-5</v>
      </c>
    </row>
    <row r="54" spans="1:7" ht="15.75" customHeight="1" x14ac:dyDescent="0.2"/>
    <row r="55" spans="1:7" ht="15.75" customHeight="1" x14ac:dyDescent="0.2"/>
    <row r="56" spans="1:7" ht="15.75" customHeight="1" x14ac:dyDescent="0.2">
      <c r="B56" s="56">
        <f>B51*10000*2</f>
        <v>0.52</v>
      </c>
      <c r="C56" s="56">
        <f t="shared" ref="C56:G56" si="11">C51*10000*2</f>
        <v>0.55249999999999999</v>
      </c>
      <c r="D56" s="56">
        <f t="shared" si="11"/>
        <v>0.58500000000000008</v>
      </c>
      <c r="E56" s="56">
        <f t="shared" si="11"/>
        <v>0.48749999999999999</v>
      </c>
      <c r="F56" s="56">
        <f t="shared" si="11"/>
        <v>0.43875000000000003</v>
      </c>
      <c r="G56" s="56">
        <f t="shared" si="11"/>
        <v>0.68250000000000011</v>
      </c>
    </row>
    <row r="57" spans="1:7" ht="15.75" customHeight="1" x14ac:dyDescent="0.2">
      <c r="B57" s="56">
        <f t="shared" ref="B57:G58" si="12">B52*10000*2</f>
        <v>0.32499999999999996</v>
      </c>
      <c r="C57" s="56">
        <f t="shared" si="12"/>
        <v>0.39000000000000007</v>
      </c>
      <c r="D57" s="56">
        <f t="shared" si="12"/>
        <v>0.64999999999999991</v>
      </c>
      <c r="E57" s="56">
        <f t="shared" si="12"/>
        <v>0.64999999999999991</v>
      </c>
      <c r="F57" s="56">
        <f t="shared" si="12"/>
        <v>0.55249999999999999</v>
      </c>
      <c r="G57" s="56">
        <f t="shared" si="12"/>
        <v>0.8125</v>
      </c>
    </row>
    <row r="58" spans="1:7" ht="15.75" customHeight="1" x14ac:dyDescent="0.2">
      <c r="B58" s="56">
        <f t="shared" si="12"/>
        <v>0.48749999999999999</v>
      </c>
      <c r="C58" s="56">
        <f t="shared" si="12"/>
        <v>0.40625</v>
      </c>
      <c r="D58" s="56">
        <f t="shared" si="12"/>
        <v>0.66625000000000012</v>
      </c>
      <c r="E58" s="56">
        <f t="shared" si="12"/>
        <v>0.58500000000000008</v>
      </c>
      <c r="F58" s="56">
        <f t="shared" si="12"/>
        <v>0.48749999999999999</v>
      </c>
      <c r="G58" s="56">
        <f t="shared" si="12"/>
        <v>0.79625000000000001</v>
      </c>
    </row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B40:G40"/>
    <mergeCell ref="A1:B1"/>
    <mergeCell ref="A13:D13"/>
    <mergeCell ref="A22:A23"/>
    <mergeCell ref="B22:C22"/>
    <mergeCell ref="D22:E22"/>
    <mergeCell ref="F22:G2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C8A6-20FC-7C49-95BE-C890161F2F9D}">
  <dimension ref="A1:E4"/>
  <sheetViews>
    <sheetView zoomScale="179" zoomScaleNormal="179" workbookViewId="0">
      <selection activeCell="H9" sqref="H9"/>
    </sheetView>
  </sheetViews>
  <sheetFormatPr baseColWidth="10" defaultRowHeight="16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>
        <v>30</v>
      </c>
      <c r="B2" s="51">
        <v>0.90688331276566569</v>
      </c>
      <c r="C2" s="51">
        <v>1.7511900715418301E-2</v>
      </c>
      <c r="D2" s="51">
        <v>0.86937500000000023</v>
      </c>
      <c r="E2" s="51">
        <v>6.7197237666439827E-2</v>
      </c>
    </row>
    <row r="3" spans="1:5" x14ac:dyDescent="0.2">
      <c r="A3">
        <v>120</v>
      </c>
      <c r="B3" s="51">
        <v>0.93998938690308664</v>
      </c>
      <c r="C3" s="51">
        <v>4.8579831205964458E-2</v>
      </c>
      <c r="D3" s="51">
        <v>0.71369047619047643</v>
      </c>
      <c r="E3" s="51">
        <v>0.16432463307128836</v>
      </c>
    </row>
    <row r="4" spans="1:5" x14ac:dyDescent="0.2">
      <c r="A4">
        <v>240</v>
      </c>
      <c r="B4" s="51">
        <v>0.94277883951796981</v>
      </c>
      <c r="C4" s="51">
        <v>3.2659863237109024E-2</v>
      </c>
      <c r="D4" s="51">
        <v>0.39541666666666669</v>
      </c>
      <c r="E4" s="51">
        <v>4.9997916623262591E-2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46FE-38D8-C145-985C-DFB5E50CDE8F}">
  <dimension ref="A1:E4"/>
  <sheetViews>
    <sheetView zoomScale="248" workbookViewId="0">
      <selection activeCell="E14" sqref="E14"/>
    </sheetView>
  </sheetViews>
  <sheetFormatPr baseColWidth="10" defaultRowHeight="16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>
        <v>30</v>
      </c>
      <c r="B2" s="51">
        <v>0.47681781045751637</v>
      </c>
      <c r="C2" s="51">
        <v>1.7511900715418277E-2</v>
      </c>
      <c r="D2" s="51">
        <v>0.44687499999999997</v>
      </c>
      <c r="E2" s="51">
        <v>8.7055119033862718E-2</v>
      </c>
    </row>
    <row r="3" spans="1:5" x14ac:dyDescent="0.2">
      <c r="A3">
        <v>120</v>
      </c>
      <c r="B3" s="51">
        <v>0.83615627822944893</v>
      </c>
      <c r="C3" s="51">
        <v>4.8579831205964458E-2</v>
      </c>
      <c r="D3" s="51">
        <v>0.60395833333333326</v>
      </c>
      <c r="E3" s="51">
        <v>6.6934747453521917E-2</v>
      </c>
    </row>
    <row r="4" spans="1:5" x14ac:dyDescent="0.2">
      <c r="A4">
        <v>240</v>
      </c>
      <c r="B4" s="51">
        <v>0.86708905784536039</v>
      </c>
      <c r="C4" s="51">
        <v>3.2659863237109024E-2</v>
      </c>
      <c r="D4" s="51">
        <v>0.6283333333333333</v>
      </c>
      <c r="E4" s="51">
        <v>0.1591062276174843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59A1-E072-FC4D-ACBB-B8BC20CCEDDF}">
  <dimension ref="A1:G1017"/>
  <sheetViews>
    <sheetView topLeftCell="A33" zoomScale="243" workbookViewId="0">
      <selection activeCell="C59" sqref="C59"/>
    </sheetView>
  </sheetViews>
  <sheetFormatPr baseColWidth="10" defaultColWidth="11.1640625" defaultRowHeight="15" customHeight="1" x14ac:dyDescent="0.2"/>
  <cols>
    <col min="1" max="1" width="38" style="16" customWidth="1"/>
    <col min="2" max="2" width="15.1640625" style="16" customWidth="1"/>
    <col min="3" max="3" width="17.1640625" style="16" customWidth="1"/>
    <col min="4" max="4" width="10.5" style="16" customWidth="1"/>
    <col min="5" max="5" width="13.5" style="16" customWidth="1"/>
    <col min="6" max="26" width="10.5" style="16" customWidth="1"/>
    <col min="27" max="16384" width="11.1640625" style="16"/>
  </cols>
  <sheetData>
    <row r="1" spans="1:6" ht="15.75" customHeight="1" x14ac:dyDescent="0.2">
      <c r="A1" s="69" t="s">
        <v>90</v>
      </c>
      <c r="B1" s="68"/>
      <c r="C1" s="60" t="s">
        <v>127</v>
      </c>
    </row>
    <row r="2" spans="1:6" ht="15.75" customHeight="1" x14ac:dyDescent="0.2">
      <c r="A2" s="34" t="s">
        <v>1</v>
      </c>
      <c r="B2" s="33"/>
      <c r="C2" s="32"/>
    </row>
    <row r="3" spans="1:6" ht="15.75" customHeight="1" x14ac:dyDescent="0.2">
      <c r="A3" s="52" t="s">
        <v>92</v>
      </c>
      <c r="B3" s="31"/>
    </row>
    <row r="4" spans="1:6" ht="15.75" customHeight="1" x14ac:dyDescent="0.2">
      <c r="A4" s="52" t="s">
        <v>93</v>
      </c>
      <c r="B4" s="16">
        <v>10000</v>
      </c>
    </row>
    <row r="5" spans="1:6" ht="15.75" customHeight="1" x14ac:dyDescent="0.2">
      <c r="A5" s="52" t="s">
        <v>94</v>
      </c>
      <c r="B5" s="30">
        <v>0.54791666666666672</v>
      </c>
    </row>
    <row r="6" spans="1:6" ht="15.75" customHeight="1" x14ac:dyDescent="0.2">
      <c r="A6" s="52" t="s">
        <v>5</v>
      </c>
      <c r="B6" s="30"/>
    </row>
    <row r="7" spans="1:6" ht="15.75" customHeight="1" x14ac:dyDescent="0.2">
      <c r="A7" s="16" t="s">
        <v>6</v>
      </c>
      <c r="B7" s="29">
        <v>10</v>
      </c>
    </row>
    <row r="8" spans="1:6" ht="15.75" customHeight="1" x14ac:dyDescent="0.2">
      <c r="A8" s="16" t="s">
        <v>7</v>
      </c>
      <c r="B8" s="30"/>
    </row>
    <row r="9" spans="1:6" ht="15.75" customHeight="1" x14ac:dyDescent="0.2">
      <c r="A9" s="16" t="s">
        <v>40</v>
      </c>
      <c r="B9" s="30"/>
    </row>
    <row r="10" spans="1:6" ht="15.75" customHeight="1" x14ac:dyDescent="0.2">
      <c r="A10" s="16" t="s">
        <v>8</v>
      </c>
      <c r="B10" s="29">
        <v>10</v>
      </c>
      <c r="C10" s="16" t="s">
        <v>9</v>
      </c>
      <c r="D10" s="28"/>
    </row>
    <row r="11" spans="1:6" ht="15.75" customHeight="1" x14ac:dyDescent="0.2">
      <c r="A11" s="52" t="s">
        <v>91</v>
      </c>
      <c r="B11" s="28"/>
      <c r="D11" s="28"/>
    </row>
    <row r="12" spans="1:6" ht="15.75" customHeight="1" x14ac:dyDescent="0.2">
      <c r="A12" s="16" t="s">
        <v>39</v>
      </c>
      <c r="C12" s="16" t="s">
        <v>10</v>
      </c>
      <c r="D12" s="28" t="e">
        <f>B11*B10/C20</f>
        <v>#DIV/0!</v>
      </c>
      <c r="E12" s="16" t="s">
        <v>11</v>
      </c>
      <c r="F12" s="52"/>
    </row>
    <row r="13" spans="1:6" ht="15.75" customHeight="1" x14ac:dyDescent="0.2"/>
    <row r="14" spans="1:6" ht="15.75" customHeight="1" x14ac:dyDescent="0.2">
      <c r="A14" s="69" t="s">
        <v>12</v>
      </c>
      <c r="B14" s="68"/>
      <c r="C14" s="68"/>
      <c r="D14" s="68"/>
    </row>
    <row r="15" spans="1:6" ht="15.75" customHeight="1" x14ac:dyDescent="0.2">
      <c r="B15" s="16" t="s">
        <v>13</v>
      </c>
      <c r="C15" s="16" t="s">
        <v>14</v>
      </c>
      <c r="D15" s="52" t="s">
        <v>70</v>
      </c>
      <c r="E15" s="52" t="s">
        <v>68</v>
      </c>
    </row>
    <row r="16" spans="1:6" ht="15.75" customHeight="1" x14ac:dyDescent="0.2">
      <c r="A16" s="16" t="s">
        <v>16</v>
      </c>
      <c r="B16" s="21">
        <f>E16*2*10000</f>
        <v>0</v>
      </c>
      <c r="C16" s="21">
        <f>(E16-D16)*10000*2</f>
        <v>0</v>
      </c>
      <c r="D16" s="54"/>
    </row>
    <row r="17" spans="1:7" ht="15.75" customHeight="1" x14ac:dyDescent="0.2">
      <c r="A17" s="16" t="s">
        <v>17</v>
      </c>
      <c r="B17" s="21">
        <f t="shared" ref="B17:B19" si="0">E17*2*10000</f>
        <v>0</v>
      </c>
      <c r="C17" s="21">
        <f t="shared" ref="C17:C19" si="1">(E17-D17)*10000*2</f>
        <v>0</v>
      </c>
      <c r="D17" s="54"/>
    </row>
    <row r="18" spans="1:7" ht="15.75" customHeight="1" x14ac:dyDescent="0.2">
      <c r="A18" s="16" t="s">
        <v>18</v>
      </c>
      <c r="B18" s="21">
        <f t="shared" si="0"/>
        <v>0</v>
      </c>
      <c r="C18" s="21">
        <f t="shared" si="1"/>
        <v>0</v>
      </c>
      <c r="D18" s="54"/>
    </row>
    <row r="19" spans="1:7" ht="15.75" customHeight="1" x14ac:dyDescent="0.2">
      <c r="A19" s="52" t="s">
        <v>69</v>
      </c>
      <c r="B19" s="21">
        <f t="shared" si="0"/>
        <v>0</v>
      </c>
      <c r="C19" s="21">
        <f t="shared" si="1"/>
        <v>0</v>
      </c>
      <c r="D19" s="54"/>
    </row>
    <row r="20" spans="1:7" ht="15.75" customHeight="1" x14ac:dyDescent="0.2">
      <c r="B20" s="16" t="s">
        <v>19</v>
      </c>
      <c r="C20" s="21">
        <f>AVERAGE(C16:C19)*B7</f>
        <v>0</v>
      </c>
      <c r="D20" s="23"/>
      <c r="F20" s="21"/>
    </row>
    <row r="21" spans="1:7" ht="15.75" customHeight="1" x14ac:dyDescent="0.2">
      <c r="C21" s="21"/>
      <c r="D21" s="23"/>
    </row>
    <row r="22" spans="1:7" ht="15.75" customHeight="1" x14ac:dyDescent="0.2"/>
    <row r="23" spans="1:7" ht="15.75" customHeight="1" x14ac:dyDescent="0.2">
      <c r="A23" s="70" t="s">
        <v>20</v>
      </c>
      <c r="B23" s="67" t="s">
        <v>50</v>
      </c>
      <c r="C23" s="68"/>
      <c r="D23" s="67" t="s">
        <v>49</v>
      </c>
      <c r="E23" s="68"/>
      <c r="F23" s="67" t="s">
        <v>51</v>
      </c>
      <c r="G23" s="68"/>
    </row>
    <row r="24" spans="1:7" ht="15.75" customHeight="1" x14ac:dyDescent="0.2">
      <c r="A24" s="68"/>
      <c r="B24" s="19">
        <v>1</v>
      </c>
      <c r="C24" s="19">
        <v>2</v>
      </c>
      <c r="D24" s="19">
        <v>3</v>
      </c>
      <c r="E24" s="19">
        <v>4</v>
      </c>
      <c r="F24" s="19">
        <v>5</v>
      </c>
      <c r="G24" s="19">
        <v>6</v>
      </c>
    </row>
    <row r="25" spans="1:7" ht="15.75" customHeight="1" x14ac:dyDescent="0.2">
      <c r="A25" s="19" t="s">
        <v>107</v>
      </c>
      <c r="B25" s="25">
        <v>0.56458333333333333</v>
      </c>
      <c r="C25" s="25"/>
      <c r="D25" s="25"/>
      <c r="E25" s="25"/>
      <c r="F25" s="25"/>
      <c r="G25" s="25"/>
    </row>
    <row r="26" spans="1:7" ht="15.75" customHeight="1" x14ac:dyDescent="0.2">
      <c r="A26" s="19" t="s">
        <v>108</v>
      </c>
      <c r="B26" s="25">
        <v>0.56527777777777777</v>
      </c>
      <c r="C26" s="25"/>
      <c r="D26" s="25"/>
      <c r="E26" s="25"/>
      <c r="F26" s="25"/>
      <c r="G26" s="25"/>
    </row>
    <row r="27" spans="1:7" ht="15.75" customHeight="1" x14ac:dyDescent="0.2">
      <c r="A27" s="19" t="s">
        <v>109</v>
      </c>
      <c r="B27" s="25">
        <v>0.56666666666666665</v>
      </c>
      <c r="C27" s="25"/>
      <c r="D27" s="25"/>
      <c r="E27" s="25"/>
      <c r="F27" s="25"/>
      <c r="G27" s="25"/>
    </row>
    <row r="28" spans="1:7" ht="15.75" customHeight="1" x14ac:dyDescent="0.2">
      <c r="A28" s="19" t="s">
        <v>110</v>
      </c>
      <c r="B28" s="25">
        <v>0.56701388888888893</v>
      </c>
      <c r="C28" s="25"/>
      <c r="D28" s="25"/>
      <c r="E28" s="25"/>
      <c r="F28" s="25"/>
      <c r="G28" s="25"/>
    </row>
    <row r="29" spans="1:7" ht="15.75" customHeight="1" x14ac:dyDescent="0.2">
      <c r="A29" s="19" t="s">
        <v>111</v>
      </c>
      <c r="B29" s="25">
        <v>0.57199074074074074</v>
      </c>
      <c r="C29" s="25"/>
      <c r="D29" s="25"/>
      <c r="E29" s="25"/>
      <c r="F29" s="25"/>
      <c r="G29" s="25"/>
    </row>
    <row r="30" spans="1:7" ht="15.75" customHeight="1" x14ac:dyDescent="0.2">
      <c r="A30" s="19" t="s">
        <v>112</v>
      </c>
      <c r="B30" s="25">
        <v>0.57291666666666663</v>
      </c>
      <c r="C30" s="25"/>
      <c r="D30" s="25"/>
      <c r="E30" s="25"/>
      <c r="F30" s="25"/>
      <c r="G30" s="25"/>
    </row>
    <row r="31" spans="1:7" ht="15.75" customHeight="1" x14ac:dyDescent="0.2">
      <c r="A31" s="19" t="s">
        <v>113</v>
      </c>
      <c r="B31" s="25">
        <v>0.6158217592592593</v>
      </c>
      <c r="C31" s="25"/>
      <c r="D31" s="25"/>
      <c r="E31" s="25"/>
      <c r="F31" s="25"/>
      <c r="G31" s="25"/>
    </row>
    <row r="32" spans="1:7" ht="15.75" customHeight="1" x14ac:dyDescent="0.2">
      <c r="A32" s="19" t="s">
        <v>114</v>
      </c>
      <c r="B32" s="25">
        <v>0.57548611111111114</v>
      </c>
      <c r="C32" s="25"/>
      <c r="D32" s="25"/>
      <c r="E32" s="25"/>
      <c r="F32" s="25"/>
      <c r="G32" s="25"/>
    </row>
    <row r="33" spans="1:7" ht="15.75" customHeight="1" x14ac:dyDescent="0.2">
      <c r="A33" s="19" t="s">
        <v>117</v>
      </c>
      <c r="B33" s="25">
        <v>0.57824074074074072</v>
      </c>
      <c r="C33" s="25"/>
      <c r="D33" s="25"/>
      <c r="E33" s="25"/>
      <c r="F33" s="25"/>
      <c r="G33" s="25"/>
    </row>
    <row r="34" spans="1:7" ht="15.75" customHeight="1" x14ac:dyDescent="0.2">
      <c r="A34" s="59" t="s">
        <v>118</v>
      </c>
      <c r="B34" s="25">
        <v>0.58113425925925921</v>
      </c>
      <c r="C34" s="25"/>
      <c r="D34" s="25"/>
      <c r="E34" s="25"/>
      <c r="F34" s="25"/>
      <c r="G34" s="25"/>
    </row>
    <row r="35" spans="1:7" ht="15.75" customHeight="1" x14ac:dyDescent="0.2">
      <c r="A35" s="59" t="s">
        <v>119</v>
      </c>
      <c r="B35" s="25" t="s">
        <v>120</v>
      </c>
      <c r="C35" s="25"/>
      <c r="D35" s="25"/>
      <c r="E35" s="25"/>
      <c r="F35" s="25"/>
      <c r="G35" s="25"/>
    </row>
    <row r="36" spans="1:7" ht="15.75" customHeight="1" x14ac:dyDescent="0.2">
      <c r="A36" s="52" t="s">
        <v>112</v>
      </c>
      <c r="C36" s="25"/>
      <c r="D36" s="25"/>
      <c r="E36" s="25"/>
      <c r="F36" s="25"/>
      <c r="G36" s="25"/>
    </row>
    <row r="37" spans="1:7" ht="15.75" customHeight="1" x14ac:dyDescent="0.2">
      <c r="A37" s="57" t="s">
        <v>24</v>
      </c>
      <c r="B37" s="25"/>
      <c r="C37" s="25"/>
      <c r="D37" s="25"/>
      <c r="E37" s="25"/>
      <c r="F37" s="27"/>
      <c r="G37" s="25"/>
    </row>
    <row r="38" spans="1:7" ht="15.75" customHeight="1" x14ac:dyDescent="0.2">
      <c r="A38" s="19" t="s">
        <v>25</v>
      </c>
      <c r="B38" s="25"/>
      <c r="C38" s="25"/>
      <c r="D38" s="25" t="s">
        <v>129</v>
      </c>
      <c r="E38" s="25"/>
      <c r="F38" s="27"/>
      <c r="G38" s="25"/>
    </row>
    <row r="39" spans="1:7" ht="15.75" customHeight="1" x14ac:dyDescent="0.2">
      <c r="A39" s="19" t="s">
        <v>102</v>
      </c>
      <c r="B39" s="19">
        <v>400</v>
      </c>
      <c r="C39" s="25"/>
      <c r="D39" s="25"/>
      <c r="E39" s="25"/>
      <c r="F39" s="25"/>
      <c r="G39" s="25"/>
    </row>
    <row r="40" spans="1:7" ht="15.75" customHeight="1" x14ac:dyDescent="0.2">
      <c r="A40" s="19" t="s">
        <v>101</v>
      </c>
      <c r="B40" s="19">
        <v>115</v>
      </c>
      <c r="C40" s="19">
        <v>110</v>
      </c>
      <c r="D40" s="19">
        <v>115</v>
      </c>
      <c r="E40" s="25"/>
      <c r="F40" s="25"/>
      <c r="G40" s="25"/>
    </row>
    <row r="41" spans="1:7" ht="15.75" customHeight="1" x14ac:dyDescent="0.2">
      <c r="A41" s="19" t="s">
        <v>28</v>
      </c>
      <c r="B41" s="19">
        <v>100</v>
      </c>
      <c r="C41" s="19">
        <v>300</v>
      </c>
      <c r="D41" s="19">
        <v>300</v>
      </c>
      <c r="E41" s="19">
        <v>100</v>
      </c>
      <c r="F41" s="19">
        <v>100</v>
      </c>
      <c r="G41" s="19">
        <v>100</v>
      </c>
    </row>
    <row r="42" spans="1:7" ht="15.75" customHeight="1" x14ac:dyDescent="0.2">
      <c r="A42" s="19" t="s">
        <v>116</v>
      </c>
      <c r="B42" s="19">
        <v>46</v>
      </c>
      <c r="C42" s="19"/>
      <c r="D42" s="19"/>
      <c r="E42" s="19"/>
      <c r="F42" s="19"/>
      <c r="G42" s="19"/>
    </row>
    <row r="43" spans="1:7" ht="15.75" customHeight="1" x14ac:dyDescent="0.2">
      <c r="A43" s="19" t="s">
        <v>115</v>
      </c>
      <c r="B43" s="19">
        <v>532</v>
      </c>
      <c r="C43" s="19">
        <v>1200</v>
      </c>
      <c r="D43" s="19">
        <v>1200</v>
      </c>
      <c r="E43" s="19"/>
      <c r="F43" s="19"/>
      <c r="G43" s="19"/>
    </row>
    <row r="44" spans="1:7" ht="15.75" customHeight="1" x14ac:dyDescent="0.2">
      <c r="A44" s="57" t="s">
        <v>29</v>
      </c>
      <c r="B44" s="26">
        <v>432</v>
      </c>
      <c r="C44" s="26">
        <v>1199</v>
      </c>
      <c r="D44" s="26">
        <v>1200</v>
      </c>
      <c r="E44" s="26"/>
      <c r="F44" s="26"/>
      <c r="G44" s="26"/>
    </row>
    <row r="45" spans="1:7" ht="15.75" customHeight="1" x14ac:dyDescent="0.2">
      <c r="A45" s="19" t="s">
        <v>30</v>
      </c>
      <c r="B45" s="19">
        <v>100</v>
      </c>
      <c r="C45" s="19">
        <v>300</v>
      </c>
      <c r="D45" s="19">
        <v>300</v>
      </c>
      <c r="E45" s="19">
        <v>100</v>
      </c>
      <c r="F45" s="19">
        <v>100</v>
      </c>
      <c r="G45" s="19">
        <v>100</v>
      </c>
    </row>
    <row r="46" spans="1:7" ht="15.75" customHeight="1" x14ac:dyDescent="0.2">
      <c r="A46" s="19" t="s">
        <v>31</v>
      </c>
      <c r="B46" s="35">
        <f t="shared" ref="B46:G46" si="2">B44*B45/B41</f>
        <v>432</v>
      </c>
      <c r="C46" s="35">
        <f t="shared" si="2"/>
        <v>1199</v>
      </c>
      <c r="D46" s="35">
        <f t="shared" si="2"/>
        <v>1200</v>
      </c>
      <c r="E46" s="35">
        <f t="shared" si="2"/>
        <v>0</v>
      </c>
      <c r="F46" s="35">
        <f t="shared" si="2"/>
        <v>0</v>
      </c>
      <c r="G46" s="35">
        <f t="shared" si="2"/>
        <v>0</v>
      </c>
    </row>
    <row r="47" spans="1:7" ht="15.75" customHeight="1" x14ac:dyDescent="0.2"/>
    <row r="48" spans="1:7" ht="15.75" customHeight="1" x14ac:dyDescent="0.2">
      <c r="A48" s="19" t="s">
        <v>33</v>
      </c>
      <c r="B48" s="19">
        <v>100</v>
      </c>
      <c r="C48" s="19">
        <v>250</v>
      </c>
      <c r="D48" s="19">
        <v>250</v>
      </c>
      <c r="E48" s="19">
        <v>50</v>
      </c>
      <c r="F48" s="19">
        <v>50</v>
      </c>
      <c r="G48" s="19">
        <v>50</v>
      </c>
    </row>
    <row r="49" spans="1:7" ht="15.75" customHeight="1" x14ac:dyDescent="0.2">
      <c r="A49" s="19" t="s">
        <v>34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</row>
    <row r="50" spans="1:7" ht="15.75" customHeight="1" x14ac:dyDescent="0.2">
      <c r="A50" s="19" t="s">
        <v>35</v>
      </c>
      <c r="B50" s="19">
        <f t="shared" ref="B50:G50" si="3">B49+B45/1000+B48/1000</f>
        <v>0.2</v>
      </c>
      <c r="C50" s="19">
        <f t="shared" si="3"/>
        <v>0.55000000000000004</v>
      </c>
      <c r="D50" s="19">
        <f t="shared" si="3"/>
        <v>0.55000000000000004</v>
      </c>
      <c r="E50" s="19">
        <f t="shared" si="3"/>
        <v>0.15000000000000002</v>
      </c>
      <c r="F50" s="19">
        <f t="shared" si="3"/>
        <v>0.15000000000000002</v>
      </c>
      <c r="G50" s="19">
        <f t="shared" si="3"/>
        <v>0.15000000000000002</v>
      </c>
    </row>
    <row r="51" spans="1:7" ht="15.75" customHeight="1" x14ac:dyDescent="0.2">
      <c r="A51" s="19" t="s">
        <v>89</v>
      </c>
      <c r="B51" s="25"/>
      <c r="C51" s="25"/>
      <c r="D51" s="25"/>
      <c r="E51" s="25"/>
      <c r="F51" s="25"/>
      <c r="G51" s="25"/>
    </row>
    <row r="52" spans="1:7" ht="15.75" customHeight="1" x14ac:dyDescent="0.2">
      <c r="A52" s="19" t="s">
        <v>37</v>
      </c>
      <c r="B52" s="69"/>
      <c r="C52" s="68"/>
      <c r="D52" s="68"/>
      <c r="E52" s="68"/>
      <c r="F52" s="68"/>
      <c r="G52" s="68"/>
    </row>
    <row r="53" spans="1:7" ht="15.75" customHeight="1" x14ac:dyDescent="0.2">
      <c r="A53" s="57" t="s">
        <v>74</v>
      </c>
      <c r="B53" s="21">
        <v>94</v>
      </c>
      <c r="C53" s="20">
        <v>586</v>
      </c>
      <c r="D53" s="16">
        <f>241+57+87</f>
        <v>385</v>
      </c>
      <c r="E53" s="21"/>
      <c r="F53" s="21"/>
      <c r="G53" s="21"/>
    </row>
    <row r="54" spans="1:7" ht="15.75" customHeight="1" x14ac:dyDescent="0.2">
      <c r="A54" s="57" t="s">
        <v>71</v>
      </c>
      <c r="B54" s="19">
        <v>3</v>
      </c>
      <c r="C54" s="54">
        <v>10</v>
      </c>
      <c r="D54" s="21">
        <v>1</v>
      </c>
      <c r="E54" s="19"/>
      <c r="F54" s="19"/>
      <c r="G54" s="19"/>
    </row>
    <row r="55" spans="1:7" ht="15.75" customHeight="1" x14ac:dyDescent="0.2">
      <c r="A55" s="57" t="s">
        <v>121</v>
      </c>
      <c r="B55" s="20">
        <v>34</v>
      </c>
      <c r="C55" s="21">
        <v>54</v>
      </c>
      <c r="D55" s="21">
        <v>92</v>
      </c>
      <c r="E55" s="21"/>
      <c r="F55" s="21"/>
      <c r="G55" s="21"/>
    </row>
    <row r="56" spans="1:7" ht="15.75" customHeight="1" x14ac:dyDescent="0.2">
      <c r="A56" s="57" t="s">
        <v>122</v>
      </c>
      <c r="B56" s="54">
        <v>0</v>
      </c>
      <c r="C56" s="54">
        <v>25</v>
      </c>
      <c r="D56" s="54">
        <v>3</v>
      </c>
      <c r="E56" s="54"/>
      <c r="F56" s="54"/>
      <c r="G56" s="54"/>
    </row>
    <row r="57" spans="1:7" ht="15.75" customHeight="1" x14ac:dyDescent="0.2">
      <c r="A57" s="57" t="s">
        <v>123</v>
      </c>
      <c r="B57" s="21" t="s">
        <v>125</v>
      </c>
      <c r="C57" s="21">
        <v>10</v>
      </c>
      <c r="D57" s="21"/>
      <c r="E57" s="21"/>
      <c r="F57" s="21"/>
      <c r="G57" s="21"/>
    </row>
    <row r="58" spans="1:7" ht="15.75" customHeight="1" x14ac:dyDescent="0.2">
      <c r="A58" s="57" t="s">
        <v>124</v>
      </c>
      <c r="B58" s="53"/>
      <c r="C58" s="53">
        <v>10</v>
      </c>
      <c r="D58" s="53"/>
      <c r="E58" s="53"/>
      <c r="F58" s="53"/>
      <c r="G58" s="53"/>
    </row>
    <row r="59" spans="1:7" ht="15.75" customHeight="1" x14ac:dyDescent="0.2">
      <c r="A59" s="57" t="s">
        <v>126</v>
      </c>
      <c r="B59" s="53">
        <v>93</v>
      </c>
      <c r="C59" s="53">
        <v>11</v>
      </c>
      <c r="D59" s="53">
        <v>26</v>
      </c>
      <c r="E59" s="53"/>
      <c r="F59" s="53"/>
      <c r="G59" s="53"/>
    </row>
    <row r="60" spans="1:7" ht="15.75" customHeight="1" x14ac:dyDescent="0.2">
      <c r="A60" s="57" t="s">
        <v>70</v>
      </c>
      <c r="B60" s="53">
        <v>2</v>
      </c>
      <c r="C60" s="53">
        <v>11</v>
      </c>
      <c r="D60" s="53">
        <v>2</v>
      </c>
      <c r="E60" s="53"/>
      <c r="F60" s="53"/>
      <c r="G60" s="53"/>
    </row>
    <row r="61" spans="1:7" ht="15.75" customHeight="1" x14ac:dyDescent="0.2">
      <c r="A61" s="57" t="s">
        <v>128</v>
      </c>
      <c r="B61" s="53"/>
      <c r="C61" s="53">
        <v>15</v>
      </c>
      <c r="D61" s="53">
        <v>12</v>
      </c>
      <c r="E61" s="53"/>
      <c r="F61" s="53"/>
      <c r="G61" s="53"/>
    </row>
    <row r="62" spans="1:7" ht="15.75" customHeight="1" x14ac:dyDescent="0.2">
      <c r="A62" s="57" t="s">
        <v>70</v>
      </c>
      <c r="B62" s="53"/>
      <c r="C62" s="53">
        <v>15</v>
      </c>
      <c r="D62" s="53">
        <v>12</v>
      </c>
      <c r="E62" s="53"/>
      <c r="F62" s="53"/>
      <c r="G62" s="53"/>
    </row>
    <row r="63" spans="1:7" ht="15.75" customHeight="1" x14ac:dyDescent="0.2">
      <c r="A63" s="19" t="s">
        <v>47</v>
      </c>
      <c r="B63" s="21">
        <f>AVERAGE(B53,B55,B57)*10000*2</f>
        <v>1280000</v>
      </c>
      <c r="C63" s="21">
        <f>AVERAGE(C53,C55,C57)*10000*2</f>
        <v>4333333.333333333</v>
      </c>
      <c r="D63" s="21">
        <f>AVERAGE(D54,D55,D57)*10000*2</f>
        <v>930000</v>
      </c>
      <c r="E63" s="21" t="e">
        <f>AVERAGE(E53,E55,E57)*10000*2</f>
        <v>#DIV/0!</v>
      </c>
      <c r="F63" s="21" t="e">
        <f>AVERAGE(F53,F55,F57)*10000*2</f>
        <v>#DIV/0!</v>
      </c>
      <c r="G63" s="21" t="e">
        <f>AVERAGE(G53,G55,G57)*10000*2</f>
        <v>#DIV/0!</v>
      </c>
    </row>
    <row r="64" spans="1:7" ht="15.75" customHeight="1" x14ac:dyDescent="0.2">
      <c r="A64" s="19" t="s">
        <v>48</v>
      </c>
      <c r="B64" s="55" t="e">
        <f>1-AVERAGE(B54/B53,B56/B55,B58/B57)</f>
        <v>#VALUE!</v>
      </c>
      <c r="C64" s="55">
        <f>1-AVERAGE(C54/C53,C56/C55,C58/C57)</f>
        <v>0.50665739687355171</v>
      </c>
      <c r="D64" s="55" t="e">
        <f>1-AVERAGE(#REF!/D54,D56/D55,D58/D57)</f>
        <v>#REF!</v>
      </c>
      <c r="E64" s="55" t="e">
        <f>1-AVERAGE(E54/E53,E56/E55,E58/E57)</f>
        <v>#DIV/0!</v>
      </c>
      <c r="F64" s="55" t="e">
        <f>1-AVERAGE(F54/F53,F56/F55,F58/F57)</f>
        <v>#DIV/0!</v>
      </c>
      <c r="G64" s="55" t="e">
        <f>1-AVERAGE(G54/G53,G56/G55,G58/G57)</f>
        <v>#DIV/0!</v>
      </c>
    </row>
    <row r="65" spans="1:7" ht="15.75" customHeight="1" x14ac:dyDescent="0.2">
      <c r="A65" s="19" t="s">
        <v>32</v>
      </c>
      <c r="B65" s="20">
        <f t="shared" ref="B65:G65" si="4">B63*B50</f>
        <v>256000</v>
      </c>
      <c r="C65" s="20">
        <f t="shared" si="4"/>
        <v>2383333.3333333335</v>
      </c>
      <c r="D65" s="20">
        <f t="shared" si="4"/>
        <v>511500.00000000006</v>
      </c>
      <c r="E65" s="20" t="e">
        <f t="shared" si="4"/>
        <v>#DIV/0!</v>
      </c>
      <c r="F65" s="20" t="e">
        <f t="shared" si="4"/>
        <v>#DIV/0!</v>
      </c>
      <c r="G65" s="20" t="e">
        <f t="shared" si="4"/>
        <v>#DIV/0!</v>
      </c>
    </row>
    <row r="66" spans="1:7" ht="15.75" customHeight="1" x14ac:dyDescent="0.2">
      <c r="A66" s="19"/>
      <c r="B66" s="18">
        <f t="shared" ref="B66:G66" si="5">B65/B46</f>
        <v>592.59259259259261</v>
      </c>
      <c r="C66" s="18">
        <f t="shared" si="5"/>
        <v>1987.7675840978595</v>
      </c>
      <c r="D66" s="18">
        <f t="shared" si="5"/>
        <v>426.25000000000006</v>
      </c>
      <c r="E66" s="18" t="e">
        <f t="shared" si="5"/>
        <v>#DIV/0!</v>
      </c>
      <c r="F66" s="17" t="e">
        <f t="shared" si="5"/>
        <v>#DIV/0!</v>
      </c>
      <c r="G66" s="17" t="e">
        <f t="shared" si="5"/>
        <v>#DIV/0!</v>
      </c>
    </row>
    <row r="67" spans="1:7" ht="15.75" customHeight="1" x14ac:dyDescent="0.2">
      <c r="B67" s="8">
        <f>B53*B$50/B$46</f>
        <v>4.3518518518518519E-2</v>
      </c>
      <c r="C67" s="8">
        <f>C53*C$50/C$46</f>
        <v>0.26880733944954127</v>
      </c>
      <c r="D67" s="8">
        <f>D54*D$50/D$46</f>
        <v>4.5833333333333338E-4</v>
      </c>
      <c r="E67" s="8" t="e">
        <f>E53*E$50/E$46</f>
        <v>#DIV/0!</v>
      </c>
      <c r="F67" s="8" t="e">
        <f>F53*F$50/F$46</f>
        <v>#DIV/0!</v>
      </c>
      <c r="G67" s="8" t="e">
        <f>G53*G$50/G$46</f>
        <v>#DIV/0!</v>
      </c>
    </row>
    <row r="68" spans="1:7" ht="15.75" customHeight="1" x14ac:dyDescent="0.2">
      <c r="B68" s="8">
        <f>B55*B$50/B$46</f>
        <v>1.5740740740740743E-2</v>
      </c>
      <c r="C68" s="8">
        <f>C55*C$50/C$46</f>
        <v>2.4770642201834864E-2</v>
      </c>
      <c r="D68" s="8">
        <f>D55*D$50/D$46</f>
        <v>4.2166666666666665E-2</v>
      </c>
      <c r="E68" s="8" t="e">
        <f>E55*E$50/E$46</f>
        <v>#DIV/0!</v>
      </c>
      <c r="F68" s="8" t="e">
        <f>F55*F$50/F$46</f>
        <v>#DIV/0!</v>
      </c>
      <c r="G68" s="8" t="e">
        <f>G55*G$50/G$46</f>
        <v>#DIV/0!</v>
      </c>
    </row>
    <row r="69" spans="1:7" ht="15.75" customHeight="1" x14ac:dyDescent="0.2">
      <c r="B69" s="8" t="e">
        <f t="shared" ref="B69:G69" si="6">B57*B$50/B$46</f>
        <v>#VALUE!</v>
      </c>
      <c r="C69" s="8">
        <f t="shared" si="6"/>
        <v>4.5871559633027525E-3</v>
      </c>
      <c r="D69" s="8">
        <f t="shared" si="6"/>
        <v>0</v>
      </c>
      <c r="E69" s="8" t="e">
        <f t="shared" si="6"/>
        <v>#DIV/0!</v>
      </c>
      <c r="F69" s="8" t="e">
        <f t="shared" si="6"/>
        <v>#DIV/0!</v>
      </c>
      <c r="G69" s="8" t="e">
        <f t="shared" si="6"/>
        <v>#DIV/0!</v>
      </c>
    </row>
    <row r="70" spans="1:7" ht="15.75" customHeight="1" x14ac:dyDescent="0.2"/>
    <row r="71" spans="1:7" ht="15.75" customHeight="1" x14ac:dyDescent="0.2"/>
    <row r="72" spans="1:7" ht="15.75" customHeight="1" x14ac:dyDescent="0.2">
      <c r="B72" s="56">
        <f>B67*10000*2</f>
        <v>870.37037037037032</v>
      </c>
      <c r="C72" s="56">
        <f t="shared" ref="C72:G72" si="7">C67*10000*2</f>
        <v>5376.1467889908254</v>
      </c>
      <c r="D72" s="56">
        <f t="shared" si="7"/>
        <v>9.1666666666666679</v>
      </c>
      <c r="E72" s="56" t="e">
        <f t="shared" si="7"/>
        <v>#DIV/0!</v>
      </c>
      <c r="F72" s="56" t="e">
        <f t="shared" si="7"/>
        <v>#DIV/0!</v>
      </c>
      <c r="G72" s="56" t="e">
        <f t="shared" si="7"/>
        <v>#DIV/0!</v>
      </c>
    </row>
    <row r="73" spans="1:7" ht="15.75" customHeight="1" x14ac:dyDescent="0.2">
      <c r="B73" s="56">
        <f t="shared" ref="B73:G74" si="8">B68*10000*2</f>
        <v>314.81481481481484</v>
      </c>
      <c r="C73" s="56">
        <f t="shared" si="8"/>
        <v>495.41284403669727</v>
      </c>
      <c r="D73" s="56">
        <f t="shared" si="8"/>
        <v>843.33333333333326</v>
      </c>
      <c r="E73" s="56" t="e">
        <f t="shared" si="8"/>
        <v>#DIV/0!</v>
      </c>
      <c r="F73" s="56" t="e">
        <f t="shared" si="8"/>
        <v>#DIV/0!</v>
      </c>
      <c r="G73" s="56" t="e">
        <f t="shared" si="8"/>
        <v>#DIV/0!</v>
      </c>
    </row>
    <row r="74" spans="1:7" ht="15.75" customHeight="1" x14ac:dyDescent="0.2">
      <c r="B74" s="56" t="e">
        <f t="shared" si="8"/>
        <v>#VALUE!</v>
      </c>
      <c r="C74" s="56">
        <f t="shared" si="8"/>
        <v>91.743119266055047</v>
      </c>
      <c r="D74" s="56">
        <f t="shared" si="8"/>
        <v>0</v>
      </c>
      <c r="E74" s="56" t="e">
        <f t="shared" si="8"/>
        <v>#DIV/0!</v>
      </c>
      <c r="F74" s="56" t="e">
        <f t="shared" si="8"/>
        <v>#DIV/0!</v>
      </c>
      <c r="G74" s="56" t="e">
        <f t="shared" si="8"/>
        <v>#DIV/0!</v>
      </c>
    </row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</sheetData>
  <mergeCells count="7">
    <mergeCell ref="B52:G52"/>
    <mergeCell ref="A1:B1"/>
    <mergeCell ref="A14:D14"/>
    <mergeCell ref="A23:A24"/>
    <mergeCell ref="B23:C23"/>
    <mergeCell ref="D23:E23"/>
    <mergeCell ref="F23:G23"/>
  </mergeCells>
  <hyperlinks>
    <hyperlink ref="C1" r:id="rId1" xr:uid="{3A970A30-3001-934C-B2F4-095E99125959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1057-AC84-C446-96E9-1347B90C5715}">
  <dimension ref="A1:D14"/>
  <sheetViews>
    <sheetView tabSelected="1" zoomScale="142" zoomScaleNormal="142" workbookViewId="0">
      <selection activeCell="D27" sqref="D26:D27"/>
    </sheetView>
  </sheetViews>
  <sheetFormatPr baseColWidth="10" defaultRowHeight="16" x14ac:dyDescent="0.2"/>
  <cols>
    <col min="1" max="1" width="18.5" customWidth="1"/>
    <col min="4" max="4" width="15.5" customWidth="1"/>
  </cols>
  <sheetData>
    <row r="1" spans="1:4" x14ac:dyDescent="0.2">
      <c r="A1" s="73" t="s">
        <v>130</v>
      </c>
      <c r="B1" s="73">
        <v>1</v>
      </c>
      <c r="C1" s="73">
        <v>2</v>
      </c>
      <c r="D1" s="73">
        <v>3</v>
      </c>
    </row>
    <row r="2" spans="1:4" x14ac:dyDescent="0.2">
      <c r="A2" s="73" t="s">
        <v>31</v>
      </c>
      <c r="B2" s="73">
        <v>432</v>
      </c>
      <c r="C2" s="73"/>
      <c r="D2" s="73">
        <v>1200</v>
      </c>
    </row>
    <row r="3" spans="1:4" x14ac:dyDescent="0.2">
      <c r="A3" s="73" t="s">
        <v>136</v>
      </c>
      <c r="B3" s="73">
        <v>100</v>
      </c>
      <c r="C3" s="73">
        <v>300</v>
      </c>
      <c r="D3" s="73">
        <v>300</v>
      </c>
    </row>
    <row r="4" spans="1:4" x14ac:dyDescent="0.2">
      <c r="A4" s="73" t="s">
        <v>137</v>
      </c>
      <c r="B4" s="73">
        <v>100</v>
      </c>
      <c r="C4" s="73">
        <v>300</v>
      </c>
      <c r="D4" s="73">
        <v>300</v>
      </c>
    </row>
    <row r="5" spans="1:4" x14ac:dyDescent="0.2">
      <c r="A5" s="73" t="s">
        <v>74</v>
      </c>
      <c r="B5" s="71">
        <v>94</v>
      </c>
      <c r="C5" s="72">
        <v>586</v>
      </c>
      <c r="D5" s="74">
        <f>241+57+87</f>
        <v>385</v>
      </c>
    </row>
    <row r="6" spans="1:4" x14ac:dyDescent="0.2">
      <c r="A6" s="73" t="s">
        <v>131</v>
      </c>
      <c r="B6" s="72">
        <v>3</v>
      </c>
      <c r="C6" s="71">
        <v>10</v>
      </c>
      <c r="D6" s="71">
        <v>1</v>
      </c>
    </row>
    <row r="7" spans="1:4" x14ac:dyDescent="0.2">
      <c r="A7" s="73" t="s">
        <v>75</v>
      </c>
      <c r="B7" s="72">
        <v>34</v>
      </c>
      <c r="C7" s="71">
        <v>54</v>
      </c>
      <c r="D7" s="71">
        <v>92</v>
      </c>
    </row>
    <row r="8" spans="1:4" x14ac:dyDescent="0.2">
      <c r="A8" s="73" t="s">
        <v>132</v>
      </c>
      <c r="B8" s="71">
        <v>0</v>
      </c>
      <c r="C8" s="71">
        <v>25</v>
      </c>
      <c r="D8" s="71">
        <v>3</v>
      </c>
    </row>
    <row r="9" spans="1:4" x14ac:dyDescent="0.2">
      <c r="A9" s="73" t="s">
        <v>76</v>
      </c>
      <c r="B9" s="71">
        <v>93</v>
      </c>
      <c r="C9" s="71">
        <v>11</v>
      </c>
      <c r="D9" s="71">
        <v>26</v>
      </c>
    </row>
    <row r="10" spans="1:4" x14ac:dyDescent="0.2">
      <c r="A10" s="73" t="s">
        <v>133</v>
      </c>
      <c r="B10" s="71">
        <v>2</v>
      </c>
      <c r="C10" s="71">
        <v>11</v>
      </c>
      <c r="D10" s="71">
        <v>2</v>
      </c>
    </row>
    <row r="11" spans="1:4" x14ac:dyDescent="0.2">
      <c r="A11" s="73" t="s">
        <v>134</v>
      </c>
      <c r="B11" s="73"/>
      <c r="C11" s="71">
        <v>15</v>
      </c>
      <c r="D11" s="71">
        <v>12</v>
      </c>
    </row>
    <row r="12" spans="1:4" x14ac:dyDescent="0.2">
      <c r="A12" s="73" t="s">
        <v>135</v>
      </c>
      <c r="B12" s="73"/>
      <c r="C12" s="71">
        <v>15</v>
      </c>
      <c r="D12" s="71">
        <v>12</v>
      </c>
    </row>
    <row r="13" spans="1:4" x14ac:dyDescent="0.2">
      <c r="A13" s="73" t="s">
        <v>138</v>
      </c>
      <c r="B13" t="s">
        <v>139</v>
      </c>
      <c r="C13" t="s">
        <v>139</v>
      </c>
      <c r="D13" t="s">
        <v>140</v>
      </c>
    </row>
    <row r="14" spans="1:4" x14ac:dyDescent="0.2">
      <c r="A14" s="73" t="s">
        <v>141</v>
      </c>
      <c r="B14">
        <f>33*60+22</f>
        <v>2002</v>
      </c>
      <c r="C14">
        <f>6*60+4</f>
        <v>364</v>
      </c>
      <c r="D14">
        <f>5*60+40</f>
        <v>340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3017-B8C5-434B-85EA-A83F89F79F8B}">
  <dimension ref="A1:D11"/>
  <sheetViews>
    <sheetView zoomScale="279" workbookViewId="0">
      <selection activeCell="C11" sqref="C11"/>
    </sheetView>
  </sheetViews>
  <sheetFormatPr baseColWidth="10" defaultRowHeight="16" x14ac:dyDescent="0.2"/>
  <cols>
    <col min="1" max="1" width="18.6640625" customWidth="1"/>
    <col min="2" max="2" width="17.1640625" customWidth="1"/>
    <col min="3" max="3" width="16" customWidth="1"/>
  </cols>
  <sheetData>
    <row r="1" spans="1:4" x14ac:dyDescent="0.2">
      <c r="B1" t="s">
        <v>95</v>
      </c>
      <c r="C1" t="s">
        <v>96</v>
      </c>
      <c r="D1" t="s">
        <v>97</v>
      </c>
    </row>
    <row r="2" spans="1:4" x14ac:dyDescent="0.2">
      <c r="A2">
        <v>1</v>
      </c>
      <c r="B2" t="s">
        <v>100</v>
      </c>
    </row>
    <row r="3" spans="1:4" x14ac:dyDescent="0.2">
      <c r="A3">
        <v>2</v>
      </c>
    </row>
    <row r="4" spans="1:4" x14ac:dyDescent="0.2">
      <c r="A4">
        <v>3</v>
      </c>
    </row>
    <row r="5" spans="1:4" x14ac:dyDescent="0.2">
      <c r="A5">
        <v>4</v>
      </c>
    </row>
    <row r="6" spans="1:4" x14ac:dyDescent="0.2">
      <c r="A6">
        <v>5</v>
      </c>
    </row>
    <row r="7" spans="1:4" x14ac:dyDescent="0.2">
      <c r="A7">
        <v>6</v>
      </c>
    </row>
    <row r="9" spans="1:4" x14ac:dyDescent="0.2">
      <c r="A9" s="58" t="s">
        <v>98</v>
      </c>
      <c r="B9" s="58">
        <v>10000</v>
      </c>
    </row>
    <row r="10" spans="1:4" x14ac:dyDescent="0.2">
      <c r="A10" t="s">
        <v>99</v>
      </c>
      <c r="B10" s="58">
        <v>35000</v>
      </c>
      <c r="C10" t="s">
        <v>104</v>
      </c>
    </row>
    <row r="11" spans="1:4" x14ac:dyDescent="0.2">
      <c r="A11" t="s">
        <v>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D969-805A-8D44-96A1-FA67905D743F}">
  <dimension ref="A1:A2"/>
  <sheetViews>
    <sheetView zoomScale="192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105</v>
      </c>
    </row>
    <row r="2" spans="1:1" x14ac:dyDescent="0.2">
      <c r="A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Stats</vt:lpstr>
      <vt:lpstr>50000</vt:lpstr>
      <vt:lpstr>Retention</vt:lpstr>
      <vt:lpstr>Viabiltiy</vt:lpstr>
      <vt:lpstr>20000</vt:lpstr>
      <vt:lpstr>50 000 cells ul</vt:lpstr>
      <vt:lpstr>30000 cellsml</vt:lpstr>
      <vt:lpstr>30000 cells ul small</vt:lpstr>
      <vt:lpstr>30000 cells ul Large</vt:lpstr>
      <vt:lpstr>small_30000</vt:lpstr>
      <vt:lpstr>Large_30000</vt:lpstr>
      <vt:lpstr>Pancreatic islets</vt:lpstr>
      <vt:lpstr>Islets summery</vt:lpstr>
      <vt:lpstr>Plan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Al-Saadi</cp:lastModifiedBy>
  <dcterms:created xsi:type="dcterms:W3CDTF">2022-08-23T15:16:12Z</dcterms:created>
  <dcterms:modified xsi:type="dcterms:W3CDTF">2025-11-08T12:32:10Z</dcterms:modified>
</cp:coreProperties>
</file>